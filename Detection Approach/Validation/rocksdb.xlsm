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WKS01\Desktop\DocumentThese\Recherche\Mypapers\Approach validation\Ptidej-20200714\Ptidej\analyses\replication\"/>
    </mc:Choice>
  </mc:AlternateContent>
  <bookViews>
    <workbookView xWindow="0" yWindow="0" windowWidth="28800" windowHeight="11730" firstSheet="1" activeTab="8"/>
  </bookViews>
  <sheets>
    <sheet name="rocksdb" sheetId="1" r:id="rId1"/>
    <sheet name="UnusedParameters" sheetId="10" r:id="rId2"/>
    <sheet name="UnusedDeclaration" sheetId="9" r:id="rId3"/>
    <sheet name="scattering" sheetId="8" r:id="rId4"/>
    <sheet name="Clustering" sheetId="7" r:id="rId5"/>
    <sheet name="memorymanagement" sheetId="6" r:id="rId6"/>
    <sheet name="NotsecuringLib" sheetId="5" r:id="rId7"/>
    <sheet name="ExcessiveInterlang" sheetId="4" r:id="rId8"/>
    <sheet name="Results" sheetId="2" r:id="rId9"/>
  </sheets>
  <functionGroups builtInGroupCount="18"/>
  <calcPr calcId="162913"/>
</workbook>
</file>

<file path=xl/calcChain.xml><?xml version="1.0" encoding="utf-8"?>
<calcChain xmlns="http://schemas.openxmlformats.org/spreadsheetml/2006/main">
  <c r="J4" i="2" l="1"/>
  <c r="J3" i="2"/>
  <c r="B9" i="2" l="1"/>
  <c r="B4" i="2"/>
  <c r="B3" i="2"/>
  <c r="J20" i="2" l="1"/>
  <c r="B8" i="2"/>
  <c r="J22" i="2"/>
  <c r="J17" i="2"/>
  <c r="J16" i="2"/>
  <c r="J18" i="2"/>
  <c r="J23" i="2" l="1"/>
  <c r="J21" i="2"/>
  <c r="J19" i="2"/>
  <c r="J8" i="2" l="1"/>
  <c r="J9" i="2"/>
  <c r="F3" i="2"/>
  <c r="F9" i="2"/>
  <c r="N3" i="2"/>
  <c r="N9" i="2"/>
  <c r="N4" i="2"/>
  <c r="R9" i="2"/>
  <c r="R4" i="2"/>
  <c r="R3" i="2"/>
  <c r="B17" i="2"/>
  <c r="B22" i="2"/>
  <c r="B16" i="2"/>
  <c r="F22" i="2"/>
  <c r="F17" i="2"/>
  <c r="F16" i="2"/>
  <c r="J10" i="2" l="1"/>
  <c r="N10" i="2"/>
  <c r="N8" i="2"/>
  <c r="R10" i="2"/>
  <c r="R8" i="2"/>
  <c r="B23" i="2"/>
  <c r="B21" i="2"/>
  <c r="F23" i="2"/>
  <c r="F21" i="2"/>
  <c r="F10" i="2"/>
  <c r="B10" i="2"/>
  <c r="F20" i="2" l="1"/>
  <c r="B20" i="2"/>
  <c r="R7" i="2"/>
  <c r="N7" i="2"/>
  <c r="J7" i="2"/>
  <c r="F7" i="2"/>
  <c r="J5" i="2"/>
  <c r="F4" i="2"/>
  <c r="N5" i="2"/>
  <c r="R5" i="2"/>
  <c r="B18" i="2"/>
  <c r="F18" i="2"/>
  <c r="F5" i="2"/>
  <c r="R6" i="2" l="1"/>
  <c r="F6" i="2"/>
  <c r="F19" i="2"/>
  <c r="B19" i="2"/>
  <c r="N6" i="2"/>
  <c r="J6" i="2"/>
  <c r="F8" i="2"/>
  <c r="B7" i="2" l="1"/>
  <c r="B5" i="2"/>
  <c r="B6" i="2" l="1"/>
</calcChain>
</file>

<file path=xl/sharedStrings.xml><?xml version="1.0" encoding="utf-8"?>
<sst xmlns="http://schemas.openxmlformats.org/spreadsheetml/2006/main" count="13447" uniqueCount="3171">
  <si>
    <t>ID</t>
  </si>
  <si>
    <t>Name</t>
  </si>
  <si>
    <t>Variable</t>
  </si>
  <si>
    <t>Method</t>
  </si>
  <si>
    <t>Class</t>
  </si>
  <si>
    <t>Package</t>
  </si>
  <si>
    <t>File</t>
  </si>
  <si>
    <t>CS1</t>
  </si>
  <si>
    <t>loadLibrary</t>
  </si>
  <si>
    <t>CS2</t>
  </si>
  <si>
    <t>CS3</t>
  </si>
  <si>
    <t>HardCodingLibraries</t>
  </si>
  <si>
    <t>CS4</t>
  </si>
  <si>
    <t>Notes</t>
  </si>
  <si>
    <t>Status</t>
  </si>
  <si>
    <t>Count</t>
  </si>
  <si>
    <t>True positive</t>
  </si>
  <si>
    <t>False positive</t>
  </si>
  <si>
    <t>Unknown / to check</t>
  </si>
  <si>
    <t>Total labelled</t>
  </si>
  <si>
    <t>Total</t>
  </si>
  <si>
    <t>Precision (except unknown)</t>
  </si>
  <si>
    <t>AssumingSafeMultiLanguageReturnValues</t>
  </si>
  <si>
    <t>()Lorg/rocksdb/ColumnFamilyOptions;</t>
  </si>
  <si>
    <t>getColumnFamilyOptionsMethod</t>
  </si>
  <si>
    <t>()[B</t>
  </si>
  <si>
    <t>getColumnFamilyNameMethod</t>
  </si>
  <si>
    <t>NotHandlingExceptions</t>
  </si>
  <si>
    <t>CS5</t>
  </si>
  <si>
    <t>UnusedDeclaration</t>
  </si>
  <si>
    <t>setUseOsBuffer</t>
  </si>
  <si>
    <t>EnvOptions</t>
  </si>
  <si>
    <t>org.rocksdb</t>
  </si>
  <si>
    <t>EnvOptions.java</t>
  </si>
  <si>
    <t>CS6</t>
  </si>
  <si>
    <t>getFromBatchAndDB</t>
  </si>
  <si>
    <t>WriteBatchWithIndex</t>
  </si>
  <si>
    <t>WriteBatchWithIndex.java</t>
  </si>
  <si>
    <t>CS7</t>
  </si>
  <si>
    <t>getFromBatch</t>
  </si>
  <si>
    <t>CS8</t>
  </si>
  <si>
    <t>iteratorCF</t>
  </si>
  <si>
    <t>RocksDB</t>
  </si>
  <si>
    <t>RocksDB.java</t>
  </si>
  <si>
    <t>CS9</t>
  </si>
  <si>
    <t>multiGet</t>
  </si>
  <si>
    <t>CS10</t>
  </si>
  <si>
    <t>newSstFileWriter</t>
  </si>
  <si>
    <t>SstFileWriter</t>
  </si>
  <si>
    <t>SstFileWriter.java</t>
  </si>
  <si>
    <t>CS11</t>
  </si>
  <si>
    <t>getProperty0</t>
  </si>
  <si>
    <t>CS12</t>
  </si>
  <si>
    <t>compactRange0</t>
  </si>
  <si>
    <t>CS13</t>
  </si>
  <si>
    <t>useOsBuffer</t>
  </si>
  <si>
    <t>CS14</t>
  </si>
  <si>
    <t>keyMayExist</t>
  </si>
  <si>
    <t>CS15</t>
  </si>
  <si>
    <t>deleteRange</t>
  </si>
  <si>
    <t>CS16</t>
  </si>
  <si>
    <t>openROnly</t>
  </si>
  <si>
    <t>CS17</t>
  </si>
  <si>
    <t>compactRange</t>
  </si>
  <si>
    <t>CS18</t>
  </si>
  <si>
    <t>setComparatorHandle</t>
  </si>
  <si>
    <t>Options</t>
  </si>
  <si>
    <t>Options.java</t>
  </si>
  <si>
    <t>CS19</t>
  </si>
  <si>
    <t>getLongProperty</t>
  </si>
  <si>
    <t>CS20</t>
  </si>
  <si>
    <t>singleDelete</t>
  </si>
  <si>
    <t>CS21</t>
  </si>
  <si>
    <t>NotUsingRelativePath</t>
  </si>
  <si>
    <t>rocksdbjni</t>
  </si>
  <si>
    <t>CS22</t>
  </si>
  <si>
    <t>sharedLibraryName</t>
  </si>
  <si>
    <t>NativeLibraryLoader</t>
  </si>
  <si>
    <t>CS23</t>
  </si>
  <si>
    <t>jniLibraryName</t>
  </si>
  <si>
    <t>CS24</t>
  </si>
  <si>
    <t>UnusedParameters</t>
  </si>
  <si>
    <t>version</t>
  </si>
  <si>
    <t>InternalStats::HandleNumRunningFlushes</t>
  </si>
  <si>
    <t>rocksdb</t>
  </si>
  <si>
    <t>C:\Users\Administrator.WKS01\Desktop\SystemAnalysis\versionAnalysis\rocksdb-rocksdb-5.9.2\db\internal_stats.cc</t>
  </si>
  <si>
    <t>internal_stats.cc</t>
  </si>
  <si>
    <t>CS25</t>
  </si>
  <si>
    <t>new_value</t>
  </si>
  <si>
    <t>Filter</t>
  </si>
  <si>
    <t>KeepFilter</t>
  </si>
  <si>
    <t>C:\Users\Administrator.WKS01\Desktop\SystemAnalysis\versionAnalysis\rocksdb-rocksdb-5.9.2\db\db_compaction_filter_test.cc</t>
  </si>
  <si>
    <t>db_compaction_filter_test.cc</t>
  </si>
  <si>
    <t>CS26</t>
  </si>
  <si>
    <t>key</t>
  </si>
  <si>
    <t>Get</t>
  </si>
  <si>
    <t>DocumentDBImpl</t>
  </si>
  <si>
    <t>C:\Users\Administrator.WKS01\Desktop\SystemAnalysis\versionAnalysis\rocksdb-rocksdb-5.9.2\utilities\document\document_db.cc</t>
  </si>
  <si>
    <t>document_db.cc</t>
  </si>
  <si>
    <t>CS27</t>
  </si>
  <si>
    <t>no_io</t>
  </si>
  <si>
    <t>FullFilterBlockReader::KeyMayMatch</t>
  </si>
  <si>
    <t>C:\Users\Administrator.WKS01\Desktop\SystemAnalysis\versionAnalysis\rocksdb-rocksdb-5.9.2\table\full_filter_block.cc</t>
  </si>
  <si>
    <t>full_filter_block.cc</t>
  </si>
  <si>
    <t>CS28</t>
  </si>
  <si>
    <t>histData</t>
  </si>
  <si>
    <t>histogramCallback</t>
  </si>
  <si>
    <t>StatsCallbackMock</t>
  </si>
  <si>
    <t>C:\Users\Administrator.WKS01\Desktop\SystemAnalysis\versionAnalysis\rocksdb-rocksdb-5.9.2\java\src\test\java\org\rocksdb\StatsCallbackMock.java</t>
  </si>
  <si>
    <t>StatsCallbackMock.java</t>
  </si>
  <si>
    <t>CS29</t>
  </si>
  <si>
    <t>logger</t>
  </si>
  <si>
    <t>FullMerge</t>
  </si>
  <si>
    <t>PutOperatorV2</t>
  </si>
  <si>
    <t>C:\Users\Administrator.WKS01\Desktop\SystemAnalysis\versionAnalysis\rocksdb-rocksdb-5.9.2\utilities\merge_operators\put.cc</t>
  </si>
  <si>
    <t>put.cc</t>
  </si>
  <si>
    <t>CS30</t>
  </si>
  <si>
    <t>value</t>
  </si>
  <si>
    <t>GetIntProperty</t>
  </si>
  <si>
    <t>ModelDB</t>
  </si>
  <si>
    <t>C:\Users\Administrator.WKS01\Desktop\SystemAnalysis\versionAnalysis\rocksdb-rocksdb-5.9.2\db\db_test.cc</t>
  </si>
  <si>
    <t>db_test.cc</t>
  </si>
  <si>
    <t>CS31</t>
  </si>
  <si>
    <t>options</t>
  </si>
  <si>
    <t>HdfsEnv::NewSequentialFile</t>
  </si>
  <si>
    <t>C:\Users\Administrator.WKS01\Desktop\SystemAnalysis\versionAnalysis\rocksdb-rocksdb-5.9.2\env\env_hdfs.cc</t>
  </si>
  <si>
    <t>env_hdfs.cc</t>
  </si>
  <si>
    <t>CS32</t>
  </si>
  <si>
    <t>file_size</t>
  </si>
  <si>
    <t>CompactOnDeletionCollector::AddUserKey</t>
  </si>
  <si>
    <t>C:\Users\Administrator.WKS01\Desktop\SystemAnalysis\versionAnalysis\rocksdb-rocksdb-5.9.2\utilities\table_properties_collectors\compact_on_deletion_collector.cc</t>
  </si>
  <si>
    <t>compact_on_deletion_collector.cc</t>
  </si>
  <si>
    <t>CS33</t>
  </si>
  <si>
    <t>internal_comparator</t>
  </si>
  <si>
    <t>FinishImpl</t>
  </si>
  <si>
    <t>DBConstructor</t>
  </si>
  <si>
    <t>C:\Users\Administrator.WKS01\Desktop\SystemAnalysis\versionAnalysis\rocksdb-rocksdb-5.9.2\table\table_test.cc</t>
  </si>
  <si>
    <t>table_test.cc</t>
  </si>
  <si>
    <t>CS34</t>
  </si>
  <si>
    <t>state_counts[]</t>
  </si>
  <si>
    <t>UpdateStatusCounts</t>
  </si>
  <si>
    <t>C:\Users\Administrator.WKS01\Desktop\SystemAnalysis\versionAnalysis\rocksdb-rocksdb-5.9.2\util\thread_list_test.cc</t>
  </si>
  <si>
    <t>thread_list_test.cc</t>
  </si>
  <si>
    <t>CS35</t>
  </si>
  <si>
    <t>Benchmark</t>
  </si>
  <si>
    <t>C:\Users\Administrator.WKS01\Desktop\SystemAnalysis\versionAnalysis\rocksdb-rocksdb-5.9.2\tools\db_bench_tool.cc</t>
  </si>
  <si>
    <t>db_bench_tool.cc</t>
  </si>
  <si>
    <t>CS36</t>
  </si>
  <si>
    <t>scratch</t>
  </si>
  <si>
    <t>PosixMmapReadableFile::Read</t>
  </si>
  <si>
    <t>C:\Users\Administrator.WKS01\Desktop\SystemAnalysis\versionAnalysis\rocksdb-rocksdb-5.9.2\env\io_posix.cc</t>
  </si>
  <si>
    <t>io_posix.cc</t>
  </si>
  <si>
    <t>CS37</t>
  </si>
  <si>
    <t>operands_list_length</t>
  </si>
  <si>
    <t>MergeOperatorFullMerge</t>
  </si>
  <si>
    <t>C:\Users\Administrator.WKS01\Desktop\SystemAnalysis\versionAnalysis\rocksdb-rocksdb-5.9.2\db\c_test.c</t>
  </si>
  <si>
    <t>c_test.c</t>
  </si>
  <si>
    <t>CS38</t>
  </si>
  <si>
    <t>DeleteFilter</t>
  </si>
  <si>
    <t>CS39</t>
  </si>
  <si>
    <t>enable_thread_tracking</t>
  </si>
  <si>
    <t>ThreadStatusUtil::SetColumnFamily</t>
  </si>
  <si>
    <t>C:\Users\Administrator.WKS01\Desktop\SystemAnalysis\versionAnalysis\rocksdb-rocksdb-5.9.2\monitoring\thread_status_util.cc</t>
  </si>
  <si>
    <t>thread_status_util.cc</t>
  </si>
  <si>
    <t>CS40</t>
  </si>
  <si>
    <t>const_ikey_ptr</t>
  </si>
  <si>
    <t>BlockBasedFilterBlockReader::PrefixMayMatch</t>
  </si>
  <si>
    <t>C:\Users\Administrator.WKS01\Desktop\SystemAnalysis\versionAnalysis\rocksdb-rocksdb-5.9.2\table\block_based_filter_block.cc</t>
  </si>
  <si>
    <t>block_based_filter_block.cc</t>
  </si>
  <si>
    <t>CS41</t>
  </si>
  <si>
    <t>batch_changed</t>
  </si>
  <si>
    <t>BlobReconcileWalFilter::LogRecordFound</t>
  </si>
  <si>
    <t>C:\Users\Administrator.WKS01\Desktop\SystemAnalysis\versionAnalysis\rocksdb-rocksdb-5.9.2\utilities\blob_db\blob_db_impl.cc</t>
  </si>
  <si>
    <t>blob_db_impl.cc</t>
  </si>
  <si>
    <t>CS42</t>
  </si>
  <si>
    <t>value_changed</t>
  </si>
  <si>
    <t>DestroyAllCompactionFilter</t>
  </si>
  <si>
    <t>C:\Users\Administrator.WKS01\Desktop\SystemAnalysis\versionAnalysis\rocksdb-rocksdb-5.9.2\db\manual_compaction_test.cc</t>
  </si>
  <si>
    <t>manual_compaction_test.cc</t>
  </si>
  <si>
    <t>CS43</t>
  </si>
  <si>
    <t>MergeOperatorPartialMerge</t>
  </si>
  <si>
    <t>CS44</t>
  </si>
  <si>
    <t>PartialMerge</t>
  </si>
  <si>
    <t>MaxOperator</t>
  </si>
  <si>
    <t>C:\Users\Administrator.WKS01\Desktop\SystemAnalysis\versionAnalysis\rocksdb-rocksdb-5.9.2\utilities\merge_operators\max.cc</t>
  </si>
  <si>
    <t>max.cc</t>
  </si>
  <si>
    <t>CS45</t>
  </si>
  <si>
    <t>InternalStats::HandleMinLogNumberToKeep</t>
  </si>
  <si>
    <t>CS46</t>
  </si>
  <si>
    <t>InternalStats::HandleCompactionPending</t>
  </si>
  <si>
    <t>CS47</t>
  </si>
  <si>
    <t>DelayFilter</t>
  </si>
  <si>
    <t>CS48</t>
  </si>
  <si>
    <t>key_length_array</t>
  </si>
  <si>
    <t>FilterCreate</t>
  </si>
  <si>
    <t>CS49</t>
  </si>
  <si>
    <t>findShortSuccessor</t>
  </si>
  <si>
    <t>AbstractComparator&lt;T extends AbstractSlice&lt;?&gt;&gt;</t>
  </si>
  <si>
    <t>C:\Users\Administrator.WKS01\Desktop\SystemAnalysis\versionAnalysis\rocksdb-rocksdb-5.9.2\java\src\main\java\org\rocksdb\AbstractComparator.java</t>
  </si>
  <si>
    <t>AbstractComparator.java</t>
  </si>
  <si>
    <t>CS50</t>
  </si>
  <si>
    <t>soptions</t>
  </si>
  <si>
    <t>MockEnv::NewRandomAccessFile</t>
  </si>
  <si>
    <t>C:\Users\Administrator.WKS01\Desktop\SystemAnalysis\versionAnalysis\rocksdb-rocksdb-5.9.2\env\mock_env.cc</t>
  </si>
  <si>
    <t>mock_env.cc</t>
  </si>
  <si>
    <t>CS51</t>
  </si>
  <si>
    <t>InternalAdd</t>
  </si>
  <si>
    <t>BlockBasedTableBuilder::BlockBasedTablePropertiesCollector</t>
  </si>
  <si>
    <t>C:\Users\Administrator.WKS01\Desktop\SystemAnalysis\versionAnalysis\rocksdb-rocksdb-5.9.2\table\block_based_table_builder.cc</t>
  </si>
  <si>
    <t>block_based_table_builder.cc</t>
  </si>
  <si>
    <t>CS52</t>
  </si>
  <si>
    <t>prefix_len</t>
  </si>
  <si>
    <t>TableReaderBenchmark</t>
  </si>
  <si>
    <t>C:\Users\Administrator.WKS01\Desktop\SystemAnalysis\versionAnalysis\rocksdb-rocksdb-5.9.2\table\table_reader_bench.cc</t>
  </si>
  <si>
    <t>table_reader_bench.cc</t>
  </si>
  <si>
    <t>CS53</t>
  </si>
  <si>
    <t>id</t>
  </si>
  <si>
    <t>getKey</t>
  </si>
  <si>
    <t>DbBenchmark</t>
  </si>
  <si>
    <t>org.rocksdb.benchmark</t>
  </si>
  <si>
    <t>C:\Users\Administrator.WKS01\Desktop\SystemAnalysis\versionAnalysis\rocksdb-rocksdb-5.9.2\java\benchmark\src\main\java\org\rocksdb\benchmark\DbBenchmark.java</t>
  </si>
  <si>
    <t>DbBenchmark.java</t>
  </si>
  <si>
    <t>CS54</t>
  </si>
  <si>
    <t>input_file_names</t>
  </si>
  <si>
    <t>CompactFiles</t>
  </si>
  <si>
    <t>CS55</t>
  </si>
  <si>
    <t>InternalStats::HandleMemTableFlushPending</t>
  </si>
  <si>
    <t>CS56</t>
  </si>
  <si>
    <t>FullFilterBlockReader::PrefixMayMatch</t>
  </si>
  <si>
    <t>CS57</t>
  </si>
  <si>
    <t>priority</t>
  </si>
  <si>
    <t>ClockCacheShard::Insert</t>
  </si>
  <si>
    <t>C:\Users\Administrator.WKS01\Desktop\SystemAnalysis\versionAnalysis\rocksdb-rocksdb-5.9.2\cache\clock_cache.cc</t>
  </si>
  <si>
    <t>clock_cache.cc</t>
  </si>
  <si>
    <t>CS58</t>
  </si>
  <si>
    <t>len</t>
  </si>
  <si>
    <t>crc32c_ppc</t>
  </si>
  <si>
    <t>C:\Users\Administrator.WKS01\Desktop\SystemAnalysis\versionAnalysis\rocksdb-rocksdb-5.9.2\util\crc32c_ppc.c</t>
  </si>
  <si>
    <t>crc32c_ppc.c</t>
  </si>
  <si>
    <t>CS59</t>
  </si>
  <si>
    <t>blob</t>
  </si>
  <si>
    <t>logData</t>
  </si>
  <si>
    <t>WriteBatchTest</t>
  </si>
  <si>
    <t>C:\Users\Administrator.WKS01\Desktop\SystemAnalysis\versionAnalysis\rocksdb-rocksdb-5.9.2\java\src\test\java\org\rocksdb\WriteBatchTest.java</t>
  </si>
  <si>
    <t>WriteBatchTest.java</t>
  </si>
  <si>
    <t>CS60</t>
  </si>
  <si>
    <t>existing_value</t>
  </si>
  <si>
    <t>FilterV2</t>
  </si>
  <si>
    <t>SkipEvenFilter</t>
  </si>
  <si>
    <t>CS61</t>
  </si>
  <si>
    <t>InternalStats::HandleBaseLevel</t>
  </si>
  <si>
    <t>CS62</t>
  </si>
  <si>
    <t>t</t>
  </si>
  <si>
    <t>StallingFilter</t>
  </si>
  <si>
    <t>C:\Users\Administrator.WKS01\Desktop\SystemAnalysis\versionAnalysis\rocksdb-rocksdb-5.9.2\db\compaction_iterator_test.cc</t>
  </si>
  <si>
    <t>compaction_iterator_test.cc</t>
  </si>
  <si>
    <t>CS63</t>
  </si>
  <si>
    <t>PutOperator</t>
  </si>
  <si>
    <t>CS64</t>
  </si>
  <si>
    <t>PartialMergeMulti</t>
  </si>
  <si>
    <t>CS65</t>
  </si>
  <si>
    <t>type</t>
  </si>
  <si>
    <t>AddUserKey</t>
  </si>
  <si>
    <t>C:\Users\Administrator.WKS01\Desktop\SystemAnalysis\versionAnalysis\rocksdb-rocksdb-5.9.2\db\listener_test.cc</t>
  </si>
  <si>
    <t>listener_test.cc</t>
  </si>
  <si>
    <t>CS66</t>
  </si>
  <si>
    <t>HashSkipListRepFactory::CreateMemTableRep</t>
  </si>
  <si>
    <t>C:\Users\Administrator.WKS01\Desktop\SystemAnalysis\versionAnalysis\rocksdb-rocksdb-5.9.2\memtable\hash_skiplist_rep.cc</t>
  </si>
  <si>
    <t>hash_skiplist_rep.cc</t>
  </si>
  <si>
    <t>CS67</t>
  </si>
  <si>
    <t>write</t>
  </si>
  <si>
    <t>RunThreads</t>
  </si>
  <si>
    <t>ReadWriteBenchmark</t>
  </si>
  <si>
    <t>C:\Users\Administrator.WKS01\Desktop\SystemAnalysis\versionAnalysis\rocksdb-rocksdb-5.9.2\memtable\memtablerep_bench.cc</t>
  </si>
  <si>
    <t>memtablerep_bench.cc</t>
  </si>
  <si>
    <t>CS68</t>
  </si>
  <si>
    <t>flush_memtable</t>
  </si>
  <si>
    <t>GetLiveFiles</t>
  </si>
  <si>
    <t>CS69</t>
  </si>
  <si>
    <t>FillBenchmark</t>
  </si>
  <si>
    <t>CS70</t>
  </si>
  <si>
    <t>mutable_cf_options</t>
  </si>
  <si>
    <t>BuildTable</t>
  </si>
  <si>
    <t>C:\Users\Administrator.WKS01\Desktop\SystemAnalysis\versionAnalysis\rocksdb-rocksdb-5.9.2\db\builder.cc</t>
  </si>
  <si>
    <t>builder.cc</t>
  </si>
  <si>
    <t>CS71</t>
  </si>
  <si>
    <t>InternalStats::HandleCurrentSuperVersionNumber</t>
  </si>
  <si>
    <t>CS72</t>
  </si>
  <si>
    <t>CS73</t>
  </si>
  <si>
    <t>value_length</t>
  </si>
  <si>
    <t>CFilterFilter</t>
  </si>
  <si>
    <t>CS74</t>
  </si>
  <si>
    <t>SstFileWriterCollector</t>
  </si>
  <si>
    <t>C:\Users\Administrator.WKS01\Desktop\SystemAnalysis\versionAnalysis\rocksdb-rocksdb-5.9.2\db\external_sst_file_test.cc</t>
  </si>
  <si>
    <t>external_sst_file_test.cc</t>
  </si>
  <si>
    <t>CS75</t>
  </si>
  <si>
    <t>RemoveEmptyValueCompactionFilter::Filter</t>
  </si>
  <si>
    <t>C:\Users\Administrator.WKS01\Desktop\SystemAnalysis\versionAnalysis\rocksdb-rocksdb-5.9.2\utilities\compaction_filters\remove_emptyvalue_compactionfilter.cc</t>
  </si>
  <si>
    <t>remove_emptyvalue_compactionfilter.cc</t>
  </si>
  <si>
    <t>CS76</t>
  </si>
  <si>
    <t>CS77</t>
  </si>
  <si>
    <t>batch</t>
  </si>
  <si>
    <t>CS78</t>
  </si>
  <si>
    <t>new_batch</t>
  </si>
  <si>
    <t>CS79</t>
  </si>
  <si>
    <t>blockSize</t>
  </si>
  <si>
    <t>CTREncryptionProvider::PopulateSecretPrefixPart</t>
  </si>
  <si>
    <t>C:\Users\Administrator.WKS01\Desktop\SystemAnalysis\versionAnalysis\rocksdb-rocksdb-5.9.2\env\env_encryption.cc</t>
  </si>
  <si>
    <t>env_encryption.cc</t>
  </si>
  <si>
    <t>CS80</t>
  </si>
  <si>
    <t>skip_filters</t>
  </si>
  <si>
    <t>CuckooTableReader::Get</t>
  </si>
  <si>
    <t>C:\Users\Administrator.WKS01\Desktop\SystemAnalysis\versionAnalysis\rocksdb-rocksdb-5.9.2\table\cuckoo_table_reader.cc</t>
  </si>
  <si>
    <t>cuckoo_table_reader.cc</t>
  </si>
  <si>
    <t>CS81</t>
  </si>
  <si>
    <t>ChangeFilter</t>
  </si>
  <si>
    <t>CS82</t>
  </si>
  <si>
    <t>val</t>
  </si>
  <si>
    <t>TransactionLogIteratorImpl::UpdateCurrentWriteBatch</t>
  </si>
  <si>
    <t>C:\Users\Administrator.WKS01\Desktop\SystemAnalysis\versionAnalysis\rocksdb-rocksdb-5.9.2\db\transaction_log_impl.cc</t>
  </si>
  <si>
    <t>transaction_log_impl.cc</t>
  </si>
  <si>
    <t>CS83</t>
  </si>
  <si>
    <t>CountingDeleteTabPropCollector</t>
  </si>
  <si>
    <t>C:\Users\Administrator.WKS01\Desktop\SystemAnalysis\versionAnalysis\rocksdb-rocksdb-5.9.2\db\db_properties_test.cc</t>
  </si>
  <si>
    <t>db_properties_test.cc</t>
  </si>
  <si>
    <t>CS84</t>
  </si>
  <si>
    <t>CS85</t>
  </si>
  <si>
    <t>table_reader</t>
  </si>
  <si>
    <t>NewTableReader</t>
  </si>
  <si>
    <t>DummyTableFactory</t>
  </si>
  <si>
    <t>C:\Users\Administrator.WKS01\Desktop\SystemAnalysis\versionAnalysis\rocksdb-rocksdb-5.9.2\utilities\options\options_util_test.cc</t>
  </si>
  <si>
    <t>options_util_test.cc</t>
  </si>
  <si>
    <t>CS86</t>
  </si>
  <si>
    <t>CassandraValueMergeOperator::PartialMergeMulti</t>
  </si>
  <si>
    <t>C:\Users\Administrator.WKS01\Desktop\SystemAnalysis\versionAnalysis\rocksdb-rocksdb-5.9.2\utilities\cassandra\merge_operator.cc</t>
  </si>
  <si>
    <t>merge_operator.cc</t>
  </si>
  <si>
    <t>CS87</t>
  </si>
  <si>
    <t>histType</t>
  </si>
  <si>
    <t>CS88</t>
  </si>
  <si>
    <t>CountingUserTblPropCollector</t>
  </si>
  <si>
    <t>CS89</t>
  </si>
  <si>
    <t>CS90</t>
  </si>
  <si>
    <t>delete_existing_trash</t>
  </si>
  <si>
    <t>NewSstFileManager</t>
  </si>
  <si>
    <t>C:\Users\Administrator.WKS01\Desktop\SystemAnalysis\versionAnalysis\rocksdb-rocksdb-5.9.2\util\sst_file_manager_impl.cc</t>
  </si>
  <si>
    <t>sst_file_manager_impl.cc</t>
  </si>
  <si>
    <t>CS91</t>
  </si>
  <si>
    <t>msg</t>
  </si>
  <si>
    <t>VersionEdit::GetLevel</t>
  </si>
  <si>
    <t>C:\Users\Administrator.WKS01\Desktop\SystemAnalysis\versionAnalysis\rocksdb-rocksdb-5.9.2\db\version_edit.cc</t>
  </si>
  <si>
    <t>version_edit.cc</t>
  </si>
  <si>
    <t>CS92</t>
  </si>
  <si>
    <t>CS93</t>
  </si>
  <si>
    <t>ignore_unknown_options</t>
  </si>
  <si>
    <t>GetPlainTableOptionsFromMap</t>
  </si>
  <si>
    <t>C:\Users\Administrator.WKS01\Desktop\SystemAnalysis\versionAnalysis\rocksdb-rocksdb-5.9.2\table\plain_table_factory.cc</t>
  </si>
  <si>
    <t>plain_table_factory.cc</t>
  </si>
  <si>
    <t>CS94</t>
  </si>
  <si>
    <t>table_options</t>
  </si>
  <si>
    <t>CS95</t>
  </si>
  <si>
    <t>share_table_files</t>
  </si>
  <si>
    <t>OpenDBAndBackupEngineShareWithChecksum</t>
  </si>
  <si>
    <t>BackupableDBTest</t>
  </si>
  <si>
    <t>C:\Users\Administrator.WKS01\Desktop\SystemAnalysis\versionAnalysis\rocksdb-rocksdb-5.9.2\utilities\backupable\backupable_db_test.cc</t>
  </si>
  <si>
    <t>backupable_db_test.cc</t>
  </si>
  <si>
    <t>CS96</t>
  </si>
  <si>
    <t>skip_until</t>
  </si>
  <si>
    <t>CS97</t>
  </si>
  <si>
    <t>DummyCompactionFilter</t>
  </si>
  <si>
    <t>C:\Users\Administrator.WKS01\Desktop\SystemAnalysis\versionAnalysis\rocksdb-rocksdb-5.9.2\examples\options_file_example.cc</t>
  </si>
  <si>
    <t>options_file_example.cc</t>
  </si>
  <si>
    <t>CS98</t>
  </si>
  <si>
    <t>end</t>
  </si>
  <si>
    <t>FIFOCompactionPicker::CompactRange</t>
  </si>
  <si>
    <t>C:\Users\Administrator.WKS01\Desktop\SystemAnalysis\versionAnalysis\rocksdb-rocksdb-5.9.2\db\compaction_picker.cc</t>
  </si>
  <si>
    <t>compaction_picker.cc</t>
  </si>
  <si>
    <t>CS99</t>
  </si>
  <si>
    <t>start</t>
  </si>
  <si>
    <t>findShortestSeparator</t>
  </si>
  <si>
    <t>CS100</t>
  </si>
  <si>
    <t>CS101</t>
  </si>
  <si>
    <t>SstFileReader::NewTableReader</t>
  </si>
  <si>
    <t>C:\Users\Administrator.WKS01\Desktop\SystemAnalysis\versionAnalysis\rocksdb-rocksdb-5.9.2\tools\sst_dump_tool.cc</t>
  </si>
  <si>
    <t>sst_dump_tool.cc</t>
  </si>
  <si>
    <t>CS102</t>
  </si>
  <si>
    <t>CS103</t>
  </si>
  <si>
    <t>n</t>
  </si>
  <si>
    <t>GetPropertiesOfTablesInRange</t>
  </si>
  <si>
    <t>CS104</t>
  </si>
  <si>
    <t>InternalStats::HandleEstimateLiveDataSize</t>
  </si>
  <si>
    <t>CS105</t>
  </si>
  <si>
    <t>InternalStats::HandleNumLiveVersions</t>
  </si>
  <si>
    <t>CS106</t>
  </si>
  <si>
    <t>handle</t>
  </si>
  <si>
    <t>disposeInternal</t>
  </si>
  <si>
    <t>RocksEnv</t>
  </si>
  <si>
    <t>C:\Users\Administrator.WKS01\Desktop\SystemAnalysis\versionAnalysis\rocksdb-rocksdb-5.9.2\java\src\main\java\org\rocksdb\RocksEnv.java</t>
  </si>
  <si>
    <t>RocksEnv.java</t>
  </si>
  <si>
    <t>CS107</t>
  </si>
  <si>
    <t>operands_list</t>
  </si>
  <si>
    <t>CS108</t>
  </si>
  <si>
    <t>error_if_log_file_exist</t>
  </si>
  <si>
    <t>DB::OpenForReadOnly</t>
  </si>
  <si>
    <t>C:\Users\Administrator.WKS01\Desktop\SystemAnalysis\versionAnalysis\rocksdb-rocksdb-5.9.2\db\db_impl_readonly.cc</t>
  </si>
  <si>
    <t>db_impl_readonly.cc</t>
  </si>
  <si>
    <t>CS109</t>
  </si>
  <si>
    <t>StringAppendTESTOperator::_AssocPartialMergeMulti</t>
  </si>
  <si>
    <t>C:\Users\Administrator.WKS01\Desktop\SystemAnalysis\versionAnalysis\rocksdb-rocksdb-5.9.2\utilities\merge_operators\string_append\stringappend2.cc</t>
  </si>
  <si>
    <t>stringappend2.cc</t>
  </si>
  <si>
    <t>CS110</t>
  </si>
  <si>
    <t>target_level</t>
  </si>
  <si>
    <t>PromoteL0</t>
  </si>
  <si>
    <t>C:\Users\Administrator.WKS01\Desktop\SystemAnalysis\versionAnalysis\rocksdb-rocksdb-5.9.2\db\experimental.cc</t>
  </si>
  <si>
    <t>experimental.cc</t>
  </si>
  <si>
    <t>CS111</t>
  </si>
  <si>
    <t>manual_conflict</t>
  </si>
  <si>
    <t>CS112</t>
  </si>
  <si>
    <t>handles</t>
  </si>
  <si>
    <t>CS113</t>
  </si>
  <si>
    <t>CS114</t>
  </si>
  <si>
    <t>prefetch_index_and_filter_in_cache</t>
  </si>
  <si>
    <t>AdaptiveTableFactory::NewTableReader</t>
  </si>
  <si>
    <t>C:\Users\Administrator.WKS01\Desktop\SystemAnalysis\versionAnalysis\rocksdb-rocksdb-5.9.2\table\adaptive_table_factory.cc</t>
  </si>
  <si>
    <t>adaptive_table_factory.cc</t>
  </si>
  <si>
    <t>CS115</t>
  </si>
  <si>
    <t>InternalStats::HandleNumEntriesActiveMemTable</t>
  </si>
  <si>
    <t>CS116</t>
  </si>
  <si>
    <t>tickerType</t>
  </si>
  <si>
    <t>tickerCallback</t>
  </si>
  <si>
    <t>CS117</t>
  </si>
  <si>
    <t>jlogger_handle</t>
  </si>
  <si>
    <t>Java_org_rocksdb_BackupableDBOptions_setInfoLog</t>
  </si>
  <si>
    <t>C:\Users\Administrator.WKS01\Desktop\SystemAnalysis\versionAnalysis\rocksdb-rocksdb-5.9.2\java\rocksjni\backupablejni.cc</t>
  </si>
  <si>
    <t>backupablejni.cc</t>
  </si>
  <si>
    <t>CS118</t>
  </si>
  <si>
    <t>IngestExternalFile</t>
  </si>
  <si>
    <t>CS119</t>
  </si>
  <si>
    <t>InternalStats::HandleNumEntriesImmMemTables</t>
  </si>
  <si>
    <t>CS120</t>
  </si>
  <si>
    <t>CS121</t>
  </si>
  <si>
    <t>values</t>
  </si>
  <si>
    <t>MultiGet</t>
  </si>
  <si>
    <t>CS122</t>
  </si>
  <si>
    <t>InternalStats::HandleIsFileDeletionsEnabled</t>
  </si>
  <si>
    <t>CS123</t>
  </si>
  <si>
    <t>BlockBasedFilterBlockReader::KeyMayMatch</t>
  </si>
  <si>
    <t>CS124</t>
  </si>
  <si>
    <t>CS125</t>
  </si>
  <si>
    <t>begin</t>
  </si>
  <si>
    <t>CS126</t>
  </si>
  <si>
    <t>strict_capacity_limit</t>
  </si>
  <si>
    <t>NewClockCache</t>
  </si>
  <si>
    <t>CS127</t>
  </si>
  <si>
    <t>PlainTableReader::Get</t>
  </si>
  <si>
    <t>C:\Users\Administrator.WKS01\Desktop\SystemAnalysis\versionAnalysis\rocksdb-rocksdb-5.9.2\table\plain_table_reader.cc</t>
  </si>
  <si>
    <t>plain_table_reader.cc</t>
  </si>
  <si>
    <t>CS128</t>
  </si>
  <si>
    <t>CS129</t>
  </si>
  <si>
    <t>EnvLibrados::NewWritableFile</t>
  </si>
  <si>
    <t>C:\Users\Administrator.WKS01\Desktop\SystemAnalysis\versionAnalysis\rocksdb-rocksdb-5.9.2\utilities\env_librados.cc</t>
  </si>
  <si>
    <t>env_librados.cc</t>
  </si>
  <si>
    <t>CS130</t>
  </si>
  <si>
    <t>SuggestCompactRange</t>
  </si>
  <si>
    <t>CS131</t>
  </si>
  <si>
    <t>DB::CreateColumnFamilies</t>
  </si>
  <si>
    <t>C:\Users\Administrator.WKS01\Desktop\SystemAnalysis\versionAnalysis\rocksdb-rocksdb-5.9.2\db\db_impl.cc</t>
  </si>
  <si>
    <t>db_impl.cc</t>
  </si>
  <si>
    <t>CS132</t>
  </si>
  <si>
    <t>cf_name</t>
  </si>
  <si>
    <t>ThreadStatusUpdater::NewColumnFamilyInfo</t>
  </si>
  <si>
    <t>C:\Users\Administrator.WKS01\Desktop\SystemAnalysis\versionAnalysis\rocksdb-rocksdb-5.9.2\monitoring\thread_status_updater.cc</t>
  </si>
  <si>
    <t>thread_status_updater.cc</t>
  </si>
  <si>
    <t>CS133</t>
  </si>
  <si>
    <t>CS134</t>
  </si>
  <si>
    <t>WinMmapReadableFile::Read</t>
  </si>
  <si>
    <t>C:\Users\Administrator.WKS01\Desktop\SystemAnalysis\versionAnalysis\rocksdb-rocksdb-5.9.2\port\win\io_win.cc</t>
  </si>
  <si>
    <t>io_win.cc</t>
  </si>
  <si>
    <t>CS135</t>
  </si>
  <si>
    <t>CompactRange</t>
  </si>
  <si>
    <t>CS136</t>
  </si>
  <si>
    <t>output_level</t>
  </si>
  <si>
    <t>CS137</t>
  </si>
  <si>
    <t>MergeCF</t>
  </si>
  <si>
    <t>C:\Users\Administrator.WKS01\Desktop\SystemAnalysis\versionAnalysis\rocksdb-rocksdb-5.9.2\db\write_batch_test.cc</t>
  </si>
  <si>
    <t>write_batch_test.cc</t>
  </si>
  <si>
    <t>CS138</t>
  </si>
  <si>
    <t>MockEnv::NewSequentialFile</t>
  </si>
  <si>
    <t>CS139</t>
  </si>
  <si>
    <t>TableConstructor</t>
  </si>
  <si>
    <t>CS140</t>
  </si>
  <si>
    <t>InternalStats::HandleIsWriteStopped</t>
  </si>
  <si>
    <t>CS141</t>
  </si>
  <si>
    <t>DeleteISFilter</t>
  </si>
  <si>
    <t>CS142</t>
  </si>
  <si>
    <t>InternalStats::HandleActualDelayedWriteRate</t>
  </si>
  <si>
    <t>CS143</t>
  </si>
  <si>
    <t>SkipListFactory::CreateMemTableRep</t>
  </si>
  <si>
    <t>C:\Users\Administrator.WKS01\Desktop\SystemAnalysis\versionAnalysis\rocksdb-rocksdb-5.9.2\memtable\skiplistrep.cc</t>
  </si>
  <si>
    <t>skiplistrep.cc</t>
  </si>
  <si>
    <t>CS144</t>
  </si>
  <si>
    <t>merge</t>
  </si>
  <si>
    <t>CS145</t>
  </si>
  <si>
    <t>SingleMergeOp</t>
  </si>
  <si>
    <t>CS146</t>
  </si>
  <si>
    <t>MyFilter</t>
  </si>
  <si>
    <t>C:\Users\Administrator.WKS01\Desktop\SystemAnalysis\versionAnalysis\rocksdb-rocksdb-5.9.2\examples\compaction_filter_example.cc</t>
  </si>
  <si>
    <t>compaction_filter_example.cc</t>
  </si>
  <si>
    <t>CS147</t>
  </si>
  <si>
    <t>CS148</t>
  </si>
  <si>
    <t>env</t>
  </si>
  <si>
    <t>ThreadStatusUtil::NewColumnFamilyInfo</t>
  </si>
  <si>
    <t>CS149</t>
  </si>
  <si>
    <t>num_keys</t>
  </si>
  <si>
    <t>CS150</t>
  </si>
  <si>
    <t>nativeParameterHandles</t>
  </si>
  <si>
    <t>initializeNative</t>
  </si>
  <si>
    <t>AbstractCompactionFilterFactory&lt;T extends AbstractCompactionFilter&lt;?&gt;&gt;</t>
  </si>
  <si>
    <t>C:\Users\Administrator.WKS01\Desktop\SystemAnalysis\versionAnalysis\rocksdb-rocksdb-5.9.2\java\src\main\java\org\rocksdb\AbstractCompactionFilterFactory.java</t>
  </si>
  <si>
    <t>AbstractCompactionFilterFactory.java</t>
  </si>
  <si>
    <t>CS151</t>
  </si>
  <si>
    <t>concurrent</t>
  </si>
  <si>
    <t>AddDBStats</t>
  </si>
  <si>
    <t>C:\Users\Administrator.WKS01\Desktop\SystemAnalysis\versionAnalysis\rocksdb-rocksdb-5.9.2\db\internal_stats.h</t>
  </si>
  <si>
    <t>internal_stats.h</t>
  </si>
  <si>
    <t>CS152</t>
  </si>
  <si>
    <t>MockTableFactory::NewTableReader</t>
  </si>
  <si>
    <t>C:\Users\Administrator.WKS01\Desktop\SystemAnalysis\versionAnalysis\rocksdb-rocksdb-5.9.2\table\mock_table.cc</t>
  </si>
  <si>
    <t>mock_table.cc</t>
  </si>
  <si>
    <t>CS153</t>
  </si>
  <si>
    <t>BlockConstructor</t>
  </si>
  <si>
    <t>CS154</t>
  </si>
  <si>
    <t>true_data</t>
  </si>
  <si>
    <t>GenerateAndAddExternalFile</t>
  </si>
  <si>
    <t>ExternalSSTFileTest</t>
  </si>
  <si>
    <t>CS155</t>
  </si>
  <si>
    <t>InternalStats::HandleNumImmutableMemTableFlushed</t>
  </si>
  <si>
    <t>CS156</t>
  </si>
  <si>
    <t>DummyMergeOperator</t>
  </si>
  <si>
    <t>CS157</t>
  </si>
  <si>
    <t>CS158</t>
  </si>
  <si>
    <t>MockTableReader::NewIterator</t>
  </si>
  <si>
    <t>CS159</t>
  </si>
  <si>
    <t>CS160</t>
  </si>
  <si>
    <t>EnvLibrados::ReuseWritableFile</t>
  </si>
  <si>
    <t>CS161</t>
  </si>
  <si>
    <t>DB::CreateColumnFamily</t>
  </si>
  <si>
    <t>CS162</t>
  </si>
  <si>
    <t>reserved</t>
  </si>
  <si>
    <t>WinOnThreadExit</t>
  </si>
  <si>
    <t>C:\Users\Administrator.WKS01\Desktop\SystemAnalysis\versionAnalysis\rocksdb-rocksdb-5.9.2\util\thread_local.cc</t>
  </si>
  <si>
    <t>thread_local.cc</t>
  </si>
  <si>
    <t>CS163</t>
  </si>
  <si>
    <t>InternalStats::HandleNumImmutableMemTable</t>
  </si>
  <si>
    <t>CS164</t>
  </si>
  <si>
    <t>column_families</t>
  </si>
  <si>
    <t>LDBCommand::InitFromCmdLineArgs</t>
  </si>
  <si>
    <t>C:\Users\Administrator.WKS01\Desktop\SystemAnalysis\versionAnalysis\rocksdb-rocksdb-5.9.2\tools\ldb_cmd.cc</t>
  </si>
  <si>
    <t>ldb_cmd.cc</t>
  </si>
  <si>
    <t>CS165</t>
  </si>
  <si>
    <t>cf_key</t>
  </si>
  <si>
    <t>CS166</t>
  </si>
  <si>
    <t>bucket_ids[]</t>
  </si>
  <si>
    <t>HashCuckooRep::QuickInsert</t>
  </si>
  <si>
    <t>C:\Users\Administrator.WKS01\Desktop\SystemAnalysis\versionAnalysis\rocksdb-rocksdb-5.9.2\memtable\hash_cuckoo_rep.cc</t>
  </si>
  <si>
    <t>hash_cuckoo_rep.cc</t>
  </si>
  <si>
    <t>CS167</t>
  </si>
  <si>
    <t>new_opts</t>
  </si>
  <si>
    <t>OptionChangeMigration</t>
  </si>
  <si>
    <t>C:\Users\Administrator.WKS01\Desktop\SystemAnalysis\versionAnalysis\rocksdb-rocksdb-5.9.2\utilities\option_change_migration\option_change_migration.cc</t>
  </si>
  <si>
    <t>option_change_migration.cc</t>
  </si>
  <si>
    <t>CS168</t>
  </si>
  <si>
    <t>CS169</t>
  </si>
  <si>
    <t>CS170</t>
  </si>
  <si>
    <t>transform</t>
  </si>
  <si>
    <t>HashCuckooRepFactory::CreateMemTableRep</t>
  </si>
  <si>
    <t>CS171</t>
  </si>
  <si>
    <t>CS172</t>
  </si>
  <si>
    <t>C:\Users\Administrator.WKS01\Desktop\SystemAnalysis\versionAnalysis\rocksdb-rocksdb-5.9.2\db\c.cc</t>
  </si>
  <si>
    <t>c.cc</t>
  </si>
  <si>
    <t>CS173</t>
  </si>
  <si>
    <t>CS174</t>
  </si>
  <si>
    <t>C:\Users\Administrator.WKS01\Desktop\SystemAnalysis\versionAnalysis\rocksdb-rocksdb-5.9.2\include\rocksdb\db.h</t>
  </si>
  <si>
    <t>db.h</t>
  </si>
  <si>
    <t>CS175</t>
  </si>
  <si>
    <t>EnvLibrados::NewSequentialFile</t>
  </si>
  <si>
    <t>CS176</t>
  </si>
  <si>
    <t>tickerCount</t>
  </si>
  <si>
    <t>CS177</t>
  </si>
  <si>
    <t>KeyMayExist</t>
  </si>
  <si>
    <t>CS178</t>
  </si>
  <si>
    <t>StringAppendOperator::Merge</t>
  </si>
  <si>
    <t>C:\Users\Administrator.WKS01\Desktop\SystemAnalysis\versionAnalysis\rocksdb-rocksdb-5.9.2\utilities\merge_operators\string_append\stringappend.cc</t>
  </si>
  <si>
    <t>stringappend.cc</t>
  </si>
  <si>
    <t>CS179</t>
  </si>
  <si>
    <t>CS180</t>
  </si>
  <si>
    <t>CS181</t>
  </si>
  <si>
    <t>MockTableReader::Get</t>
  </si>
  <si>
    <t>CS182</t>
  </si>
  <si>
    <t>context</t>
  </si>
  <si>
    <t>createCompactionFilter</t>
  </si>
  <si>
    <t>CompactionFilterFactoryTest</t>
  </si>
  <si>
    <t>C:\Users\Administrator.WKS01\Desktop\SystemAnalysis\versionAnalysis\rocksdb-rocksdb-5.9.2\java\src\test\java\org\rocksdb\CompactionFilterFactoryTest.java</t>
  </si>
  <si>
    <t>CompactionFilterFactoryTest.java</t>
  </si>
  <si>
    <t>CS183</t>
  </si>
  <si>
    <t>result</t>
  </si>
  <si>
    <t>PositionedRead</t>
  </si>
  <si>
    <t>C:\Users\Administrator.WKS01\Desktop\SystemAnalysis\versionAnalysis\rocksdb-rocksdb-5.9.2\include\rocksdb\env.h</t>
  </si>
  <si>
    <t>env.h</t>
  </si>
  <si>
    <t>CS184</t>
  </si>
  <si>
    <t>ConditionalFilter</t>
  </si>
  <si>
    <t>CS185</t>
  </si>
  <si>
    <t>max_num_buckets</t>
  </si>
  <si>
    <t>GetSliceHash</t>
  </si>
  <si>
    <t>C:\Users\Administrator.WKS01\Desktop\SystemAnalysis\versionAnalysis\rocksdb-rocksdb-5.9.2\table\cuckoo_table_builder_test.cc</t>
  </si>
  <si>
    <t>cuckoo_table_builder_test.cc</t>
  </si>
  <si>
    <t>CS186</t>
  </si>
  <si>
    <t>key_length</t>
  </si>
  <si>
    <t>CS187</t>
  </si>
  <si>
    <t>PlainTableReader::NewIterator</t>
  </si>
  <si>
    <t>CS188</t>
  </si>
  <si>
    <t>TestPlainTableFactory</t>
  </si>
  <si>
    <t>C:\Users\Administrator.WKS01\Desktop\SystemAnalysis\versionAnalysis\rocksdb-rocksdb-5.9.2\db\plain_table_db_test.cc</t>
  </si>
  <si>
    <t>plain_table_db_test.cc</t>
  </si>
  <si>
    <t>CS189</t>
  </si>
  <si>
    <t>seq</t>
  </si>
  <si>
    <t>RegularKeysStartWithA</t>
  </si>
  <si>
    <t>C:\Users\Administrator.WKS01\Desktop\SystemAnalysis\versionAnalysis\rocksdb-rocksdb-5.9.2\db\table_properties_collector_test.cc</t>
  </si>
  <si>
    <t>table_properties_collector_test.cc</t>
  </si>
  <si>
    <t>CS190</t>
  </si>
  <si>
    <t>compact_options</t>
  </si>
  <si>
    <t>CompactionPicker::GetCompactionInputsFromFileNumbers</t>
  </si>
  <si>
    <t>CS191</t>
  </si>
  <si>
    <t>PlainTableFactory::NewTableReader</t>
  </si>
  <si>
    <t>CS192</t>
  </si>
  <si>
    <t>trash_dir</t>
  </si>
  <si>
    <t>CS193</t>
  </si>
  <si>
    <t>MemTableConstructor</t>
  </si>
  <si>
    <t>CS194</t>
  </si>
  <si>
    <t>newValue</t>
  </si>
  <si>
    <t>DBTestBase::updateInPlaceNoAction</t>
  </si>
  <si>
    <t>C:\Users\Administrator.WKS01\Desktop\SystemAnalysis\versionAnalysis\rocksdb-rocksdb-5.9.2\db\db_test_util.cc</t>
  </si>
  <si>
    <t>db_test_util.cc</t>
  </si>
  <si>
    <t>CS195</t>
  </si>
  <si>
    <t>InternalStats::HandleEstimatePendingCompactionBytes</t>
  </si>
  <si>
    <t>CS196</t>
  </si>
  <si>
    <t>CS197</t>
  </si>
  <si>
    <t>CS198</t>
  </si>
  <si>
    <t>existing_value_length</t>
  </si>
  <si>
    <t>CS199</t>
  </si>
  <si>
    <t>num_operands</t>
  </si>
  <si>
    <t>CS200</t>
  </si>
  <si>
    <t>output_path_id</t>
  </si>
  <si>
    <t>CS201</t>
  </si>
  <si>
    <t>CuckooTableFactory::NewTableReader</t>
  </si>
  <si>
    <t>C:\Users\Administrator.WKS01\Desktop\SystemAnalysis\versionAnalysis\rocksdb-rocksdb-5.9.2\table\cuckoo_table_factory.cc</t>
  </si>
  <si>
    <t>cuckoo_table_factory.cc</t>
  </si>
  <si>
    <t>CS202</t>
  </si>
  <si>
    <t>CS203</t>
  </si>
  <si>
    <t>CassandraCompactionFilter::FilterV2</t>
  </si>
  <si>
    <t>C:\Users\Administrator.WKS01\Desktop\SystemAnalysis\versionAnalysis\rocksdb-rocksdb-5.9.2\utilities\cassandra\cassandra_compaction_filter.cc</t>
  </si>
  <si>
    <t>cassandra_compaction_filter.cc</t>
  </si>
  <si>
    <t>CS204</t>
  </si>
  <si>
    <t>GetMapProperty</t>
  </si>
  <si>
    <t>CS205</t>
  </si>
  <si>
    <t>CS206</t>
  </si>
  <si>
    <t>file</t>
  </si>
  <si>
    <t>NewTableBuilder</t>
  </si>
  <si>
    <t>CS207</t>
  </si>
  <si>
    <t>StringAppendTESTOperator::PartialMergeMulti</t>
  </si>
  <si>
    <t>CS208</t>
  </si>
  <si>
    <t>s</t>
  </si>
  <si>
    <t>InitString</t>
  </si>
  <si>
    <t>C:\Users\Administrator.WKS01\Desktop\SystemAnalysis\versionAnalysis\rocksdb-rocksdb-5.9.2\utilities\document\json_document.cc</t>
  </si>
  <si>
    <t>json_document.cc</t>
  </si>
  <si>
    <t>CS209</t>
  </si>
  <si>
    <t>CS210</t>
  </si>
  <si>
    <t>delta</t>
  </si>
  <si>
    <t>CS211</t>
  </si>
  <si>
    <t>CS212</t>
  </si>
  <si>
    <t>InternalStats::HandleTotalSstFilesSize</t>
  </si>
  <si>
    <t>CS213</t>
  </si>
  <si>
    <t>CS214</t>
  </si>
  <si>
    <t>CS215</t>
  </si>
  <si>
    <t>InternalStats::HandleOldestSnapshotTime</t>
  </si>
  <si>
    <t>CS216</t>
  </si>
  <si>
    <t>include_flags</t>
  </si>
  <si>
    <t>GetApproximateSizes</t>
  </si>
  <si>
    <t>CS217</t>
  </si>
  <si>
    <t>read_options</t>
  </si>
  <si>
    <t>BlockBasedTable::PutDataBlockToCache</t>
  </si>
  <si>
    <t>C:\Users\Administrator.WKS01\Desktop\SystemAnalysis\versionAnalysis\rocksdb-rocksdb-5.9.2\table\block_based_table_reader.cc</t>
  </si>
  <si>
    <t>block_based_table_reader.cc</t>
  </si>
  <si>
    <t>CS218</t>
  </si>
  <si>
    <t>keys[]</t>
  </si>
  <si>
    <t>rocksdb_set_options</t>
  </si>
  <si>
    <t>CS219</t>
  </si>
  <si>
    <t>opt_map</t>
  </si>
  <si>
    <t>RocksDBOptionsParser::VerifyDBOptions</t>
  </si>
  <si>
    <t>C:\Users\Administrator.WKS01\Desktop\SystemAnalysis\versionAnalysis\rocksdb-rocksdb-5.9.2\options\options_parser.cc</t>
  </si>
  <si>
    <t>options_parser.cc</t>
  </si>
  <si>
    <t>CS220</t>
  </si>
  <si>
    <t>SeqReadBenchmark</t>
  </si>
  <si>
    <t>CS221</t>
  </si>
  <si>
    <t>RegularKeysStartWithAInternal</t>
  </si>
  <si>
    <t>CS222</t>
  </si>
  <si>
    <t>NoMergingMergeOp</t>
  </si>
  <si>
    <t>CS223</t>
  </si>
  <si>
    <t>CS224</t>
  </si>
  <si>
    <t>CS225</t>
  </si>
  <si>
    <t>CS226</t>
  </si>
  <si>
    <t>CS227</t>
  </si>
  <si>
    <t>Snapshot</t>
  </si>
  <si>
    <t>C:\Users\Administrator.WKS01\Desktop\SystemAnalysis\versionAnalysis\rocksdb-rocksdb-5.9.2\java\src\main\java\org\rocksdb\Snapshot.java</t>
  </si>
  <si>
    <t>Snapshot.java</t>
  </si>
  <si>
    <t>CS228</t>
  </si>
  <si>
    <t>prefix</t>
  </si>
  <si>
    <t>CTREncryptionProvider::CreateCipherStreamFromPrefix</t>
  </si>
  <si>
    <t>CS229</t>
  </si>
  <si>
    <t>CS230</t>
  </si>
  <si>
    <t>CS231</t>
  </si>
  <si>
    <t>InternalStats::HandleCurSizeActiveMemTable</t>
  </si>
  <si>
    <t>CS232</t>
  </si>
  <si>
    <t>operand_sequence</t>
  </si>
  <si>
    <t>CS233</t>
  </si>
  <si>
    <t>CS234</t>
  </si>
  <si>
    <t>InternalStats::HandleNumSnapshots</t>
  </si>
  <si>
    <t>CS235</t>
  </si>
  <si>
    <t>TtlTest</t>
  </si>
  <si>
    <t>C:\Users\Administrator.WKS01\Desktop\SystemAnalysis\versionAnalysis\rocksdb-rocksdb-5.9.2\utilities\ttl\ttl_test.cc</t>
  </si>
  <si>
    <t>ttl_test.cc</t>
  </si>
  <si>
    <t>CS236</t>
  </si>
  <si>
    <t>CS237</t>
  </si>
  <si>
    <t>CuckooTableReader::NewIterator</t>
  </si>
  <si>
    <t>CS238</t>
  </si>
  <si>
    <t>CS239</t>
  </si>
  <si>
    <t>CS240</t>
  </si>
  <si>
    <t>InternalStats::HandleBackgroundErrors</t>
  </si>
  <si>
    <t>CS241</t>
  </si>
  <si>
    <t>v</t>
  </si>
  <si>
    <t>VersionSet::LogAndApplyHelper</t>
  </si>
  <si>
    <t>C:\Users\Administrator.WKS01\Desktop\SystemAnalysis\versionAnalysis\rocksdb-rocksdb-5.9.2\db\version_set.cc</t>
  </si>
  <si>
    <t>version_set.cc</t>
  </si>
  <si>
    <t>CS242</t>
  </si>
  <si>
    <t>DummyDB</t>
  </si>
  <si>
    <t>CS243</t>
  </si>
  <si>
    <t>range</t>
  </si>
  <si>
    <t>CS244</t>
  </si>
  <si>
    <t>values[]</t>
  </si>
  <si>
    <t>CS245</t>
  </si>
  <si>
    <t>hash_index_allow_collision</t>
  </si>
  <si>
    <t>Create</t>
  </si>
  <si>
    <t>HashIndexReader</t>
  </si>
  <si>
    <t>CS246</t>
  </si>
  <si>
    <t>GetProperty</t>
  </si>
  <si>
    <t>CS247</t>
  </si>
  <si>
    <t>CS248</t>
  </si>
  <si>
    <t>HdfsEnv::NewRandomAccessFile</t>
  </si>
  <si>
    <t>CS249</t>
  </si>
  <si>
    <t>CS250</t>
  </si>
  <si>
    <t>VectorRepFactory::CreateMemTableRep</t>
  </si>
  <si>
    <t>C:\Users\Administrator.WKS01\Desktop\SystemAnalysis\versionAnalysis\rocksdb-rocksdb-5.9.2\memtable\vectorrep.cc</t>
  </si>
  <si>
    <t>vectorrep.cc</t>
  </si>
  <si>
    <t>CS251</t>
  </si>
  <si>
    <t>WritePreparedTxn::RollbackInternal</t>
  </si>
  <si>
    <t>C:\Users\Administrator.WKS01\Desktop\SystemAnalysis\versionAnalysis\rocksdb-rocksdb-5.9.2\utilities\transactions\write_prepared_txn.cc</t>
  </si>
  <si>
    <t>write_prepared_txn.cc</t>
  </si>
  <si>
    <t>CS252</t>
  </si>
  <si>
    <t>CS253</t>
  </si>
  <si>
    <t>HdfsEnv::NewWritableFile</t>
  </si>
  <si>
    <t>CS254</t>
  </si>
  <si>
    <t>beginKey</t>
  </si>
  <si>
    <t>CS255</t>
  </si>
  <si>
    <t>InternalStats::HandleNumDeletesActiveMemTable</t>
  </si>
  <si>
    <t>CS256</t>
  </si>
  <si>
    <t>CS257</t>
  </si>
  <si>
    <t>CS258</t>
  </si>
  <si>
    <t>CS259</t>
  </si>
  <si>
    <t>suffix_len</t>
  </si>
  <si>
    <t>AddInternalKey</t>
  </si>
  <si>
    <t>CS260</t>
  </si>
  <si>
    <t>CS261</t>
  </si>
  <si>
    <t>length</t>
  </si>
  <si>
    <t>FilterKeyMatch</t>
  </si>
  <si>
    <t>CS262</t>
  </si>
  <si>
    <t>CS263</t>
  </si>
  <si>
    <t>exclusive</t>
  </si>
  <si>
    <t>GetForUpdate</t>
  </si>
  <si>
    <t>C:\Users\Administrator.WKS01\Desktop\SystemAnalysis\versionAnalysis\rocksdb-rocksdb-5.9.2\include\rocksdb\utilities\transaction.h</t>
  </si>
  <si>
    <t>transaction.h</t>
  </si>
  <si>
    <t>CS264</t>
  </si>
  <si>
    <t>GetUpdatesSince</t>
  </si>
  <si>
    <t>CS265</t>
  </si>
  <si>
    <t>InternalStats::HandleSizeAllMemTables</t>
  </si>
  <si>
    <t>CS266</t>
  </si>
  <si>
    <t>LogRecordFound</t>
  </si>
  <si>
    <t>TestWalFilterWithColumnFamilies</t>
  </si>
  <si>
    <t>C:\Users\Administrator.WKS01\Desktop\SystemAnalysis\versionAnalysis\rocksdb-rocksdb-5.9.2\db\db_test2.cc</t>
  </si>
  <si>
    <t>db_test2.cc</t>
  </si>
  <si>
    <t>CS267</t>
  </si>
  <si>
    <t>CS268</t>
  </si>
  <si>
    <t>CS269</t>
  </si>
  <si>
    <t>prefix_group_size</t>
  </si>
  <si>
    <t>GetBlockContents</t>
  </si>
  <si>
    <t>block_test.cc</t>
  </si>
  <si>
    <t>CS270</t>
  </si>
  <si>
    <t>endKey</t>
  </si>
  <si>
    <t>CS271</t>
  </si>
  <si>
    <t>WriteBatch</t>
  </si>
  <si>
    <t>WriteBatch.java</t>
  </si>
  <si>
    <t>CS272</t>
  </si>
  <si>
    <t>InternalStats::HandleNumRunningCompactions</t>
  </si>
  <si>
    <t>CS273</t>
  </si>
  <si>
    <t>CS274</t>
  </si>
  <si>
    <t>rate_bytes_per_sec</t>
  </si>
  <si>
    <t>CS275</t>
  </si>
  <si>
    <t>EnvLibrados::NewRandomAccessFile</t>
  </si>
  <si>
    <t>CS276</t>
  </si>
  <si>
    <t>CS277</t>
  </si>
  <si>
    <t>CS278</t>
  </si>
  <si>
    <t>seekable</t>
  </si>
  <si>
    <t>PlainTableKeyDecoder::NextPlainEncodingKey</t>
  </si>
  <si>
    <t>C:\Users\Administrator.WKS01\Desktop\SystemAnalysis\versionAnalysis\rocksdb-rocksdb-5.9.2\table\plain_table_key_coding.cc</t>
  </si>
  <si>
    <t>plain_table_key_coding.cc</t>
  </si>
  <si>
    <t>CS279</t>
  </si>
  <si>
    <t>CS280</t>
  </si>
  <si>
    <t>InternalStats::HandleNumDeletesImmMemTables</t>
  </si>
  <si>
    <t>CS281</t>
  </si>
  <si>
    <t>CS282</t>
  </si>
  <si>
    <t>CS283</t>
  </si>
  <si>
    <t>limit</t>
  </si>
  <si>
    <t>CS284</t>
  </si>
  <si>
    <t>opts</t>
  </si>
  <si>
    <t>VerifyValue</t>
  </si>
  <si>
    <t>StressTest</t>
  </si>
  <si>
    <t>C:\Users\Administrator.WKS01\Desktop\SystemAnalysis\versionAnalysis\rocksdb-rocksdb-5.9.2\tools\db_stress.cc</t>
  </si>
  <si>
    <t>db_stress.cc</t>
  </si>
  <si>
    <t>CS285</t>
  </si>
  <si>
    <t>dbptr</t>
  </si>
  <si>
    <t>CS286</t>
  </si>
  <si>
    <t>CS287</t>
  </si>
  <si>
    <t>InternalStats::HandleEstimateNumKeys</t>
  </si>
  <si>
    <t>CS288</t>
  </si>
  <si>
    <t>InternalKeyPropertiesCollector::InternalAdd</t>
  </si>
  <si>
    <t>C:\Users\Administrator.WKS01\Desktop\SystemAnalysis\versionAnalysis\rocksdb-rocksdb-5.9.2\db\table_properties_collector.cc</t>
  </si>
  <si>
    <t>table_properties_collector.cc</t>
  </si>
  <si>
    <t>CS289</t>
  </si>
  <si>
    <t>iterators</t>
  </si>
  <si>
    <t>NewIterators</t>
  </si>
  <si>
    <t>CS290</t>
  </si>
  <si>
    <t>MockEnv::NewRandomRWFile</t>
  </si>
  <si>
    <t>CS291</t>
  </si>
  <si>
    <t>value_type</t>
  </si>
  <si>
    <t>CS292</t>
  </si>
  <si>
    <t>InternalStats::HandleCurSizeAllMemTables</t>
  </si>
  <si>
    <t>CS293</t>
  </si>
  <si>
    <t>CS294</t>
  </si>
  <si>
    <t>LogRecord</t>
  </si>
  <si>
    <t>TestWalFilter</t>
  </si>
  <si>
    <t>CS295</t>
  </si>
  <si>
    <t>CS296</t>
  </si>
  <si>
    <t>props</t>
  </si>
  <si>
    <t>CS297</t>
  </si>
  <si>
    <t>ReadBenchmark</t>
  </si>
  <si>
    <t>CS298</t>
  </si>
  <si>
    <t>CS299</t>
  </si>
  <si>
    <t>CS300</t>
  </si>
  <si>
    <t>CS301</t>
  </si>
  <si>
    <t>CS302</t>
  </si>
  <si>
    <t>compressionType.getLibraryName()</t>
  </si>
  <si>
    <t>CS304</t>
  </si>
  <si>
    <t>loadLibraryFromJarToTemp(tmpDir).getAbsolutePath()</t>
  </si>
  <si>
    <t>loadLibraryFromJar</t>
  </si>
  <si>
    <t>CS305</t>
  </si>
  <si>
    <t>tmpDir</t>
  </si>
  <si>
    <t>CS306</t>
  </si>
  <si>
    <t>AP307</t>
  </si>
  <si>
    <t>ExcessiveInterLanguageCommunication</t>
  </si>
  <si>
    <t>arenaBlockSize</t>
  </si>
  <si>
    <t>AP308</t>
  </si>
  <si>
    <t>maxLogFileSize</t>
  </si>
  <si>
    <t>DBOptions</t>
  </si>
  <si>
    <t>AP309</t>
  </si>
  <si>
    <t>setArenaBlockSize</t>
  </si>
  <si>
    <t>AP310</t>
  </si>
  <si>
    <t>setBytesPerSync</t>
  </si>
  <si>
    <t>AP311</t>
  </si>
  <si>
    <t>setParanoidChecks</t>
  </si>
  <si>
    <t>AP312</t>
  </si>
  <si>
    <t>AP313</t>
  </si>
  <si>
    <t>setCompactionOptionsFIFO</t>
  </si>
  <si>
    <t>ColumnFamilyOptions</t>
  </si>
  <si>
    <t>AP314</t>
  </si>
  <si>
    <t>statistics</t>
  </si>
  <si>
    <t>AP315</t>
  </si>
  <si>
    <t>accessHintOnCompactionStart</t>
  </si>
  <si>
    <t>AP316</t>
  </si>
  <si>
    <t>paranoidChecks</t>
  </si>
  <si>
    <t>AP317</t>
  </si>
  <si>
    <t>setLevelZeroSlowdownWritesTrigger</t>
  </si>
  <si>
    <t>AP318</t>
  </si>
  <si>
    <t>setReportBgIoStats</t>
  </si>
  <si>
    <t>AP319</t>
  </si>
  <si>
    <t>setMaxWriteBufferNumberToMaintain</t>
  </si>
  <si>
    <t>AP320</t>
  </si>
  <si>
    <t>setMaxSubcompactions</t>
  </si>
  <si>
    <t>AP321</t>
  </si>
  <si>
    <t>tableFactoryName</t>
  </si>
  <si>
    <t>AP322</t>
  </si>
  <si>
    <t>iterator</t>
  </si>
  <si>
    <t>AP323</t>
  </si>
  <si>
    <t>maxSuccessiveMerges</t>
  </si>
  <si>
    <t>AP324</t>
  </si>
  <si>
    <t>setDbLogDir</t>
  </si>
  <si>
    <t>AP325</t>
  </si>
  <si>
    <t>setMaxBytesForLevelMultiplier</t>
  </si>
  <si>
    <t>AP326</t>
  </si>
  <si>
    <t>createIfMissing</t>
  </si>
  <si>
    <t>AP327</t>
  </si>
  <si>
    <t>maxBackgroundFlushes</t>
  </si>
  <si>
    <t>AP328</t>
  </si>
  <si>
    <t>tableCacheNumshardbits</t>
  </si>
  <si>
    <t>AP329</t>
  </si>
  <si>
    <t>enableThreadTracking</t>
  </si>
  <si>
    <t>AP330</t>
  </si>
  <si>
    <t>AP331</t>
  </si>
  <si>
    <t>setMemTableFactory</t>
  </si>
  <si>
    <t>AP332</t>
  </si>
  <si>
    <t>writeThreadMaxYieldUsec</t>
  </si>
  <si>
    <t>AP333</t>
  </si>
  <si>
    <t>fillCache</t>
  </si>
  <si>
    <t>ReadOptions</t>
  </si>
  <si>
    <t>AP334</t>
  </si>
  <si>
    <t>setFailIfOptionsFileError</t>
  </si>
  <si>
    <t>AP335</t>
  </si>
  <si>
    <t>maxSequentialSkipInIterations</t>
  </si>
  <si>
    <t>AP336</t>
  </si>
  <si>
    <t>AP337</t>
  </si>
  <si>
    <t>allow2pc</t>
  </si>
  <si>
    <t>AP338</t>
  </si>
  <si>
    <t>setInfoLog</t>
  </si>
  <si>
    <t>BackupableDBOptions</t>
  </si>
  <si>
    <t>AP339</t>
  </si>
  <si>
    <t>setEnv</t>
  </si>
  <si>
    <t>AP340</t>
  </si>
  <si>
    <t>maxFileOpeningThreads</t>
  </si>
  <si>
    <t>AP341</t>
  </si>
  <si>
    <t>newBackupableDBOptions</t>
  </si>
  <si>
    <t>AP342</t>
  </si>
  <si>
    <t>setIncreaseParallelism</t>
  </si>
  <si>
    <t>AP343</t>
  </si>
  <si>
    <t>AP344</t>
  </si>
  <si>
    <t>AP345</t>
  </si>
  <si>
    <t>maxOpenFiles</t>
  </si>
  <si>
    <t>AP346</t>
  </si>
  <si>
    <t>maxCompactionBytes</t>
  </si>
  <si>
    <t>AP347</t>
  </si>
  <si>
    <t>setUseAdaptiveMutex</t>
  </si>
  <si>
    <t>AP348</t>
  </si>
  <si>
    <t>setFallocateWithKeepSize</t>
  </si>
  <si>
    <t>AP349</t>
  </si>
  <si>
    <t>errorIfExists</t>
  </si>
  <si>
    <t>AP350</t>
  </si>
  <si>
    <t>useFsync</t>
  </si>
  <si>
    <t>AP351</t>
  </si>
  <si>
    <t>setCreateMissingColumnFamilies</t>
  </si>
  <si>
    <t>AP352</t>
  </si>
  <si>
    <t>setWriteThreadSlowYieldUsec</t>
  </si>
  <si>
    <t>AP353</t>
  </si>
  <si>
    <t>logFileTimeToRoll</t>
  </si>
  <si>
    <t>AP354</t>
  </si>
  <si>
    <t>setRandomAccessMaxBufferSize</t>
  </si>
  <si>
    <t>AP355</t>
  </si>
  <si>
    <t>disableFileDeletions</t>
  </si>
  <si>
    <t>AP356</t>
  </si>
  <si>
    <t>setLevel0StopWritesTrigger</t>
  </si>
  <si>
    <t>AP357</t>
  </si>
  <si>
    <t>setInplaceUpdateSupport</t>
  </si>
  <si>
    <t>AP358</t>
  </si>
  <si>
    <t>AP359</t>
  </si>
  <si>
    <t>setMaxOpenFiles</t>
  </si>
  <si>
    <t>AP360</t>
  </si>
  <si>
    <t>createNewSlice0</t>
  </si>
  <si>
    <t>Slice</t>
  </si>
  <si>
    <t>AP361</t>
  </si>
  <si>
    <t>setLevel0SlowdownWritesTrigger</t>
  </si>
  <si>
    <t>AP362</t>
  </si>
  <si>
    <t>AP363</t>
  </si>
  <si>
    <t>setMaxBytesForLevelMultiplierAdditional</t>
  </si>
  <si>
    <t>AP364</t>
  </si>
  <si>
    <t>setWriteThreadMaxYieldUsec</t>
  </si>
  <si>
    <t>AP365</t>
  </si>
  <si>
    <t>baseBackgroundCompactions</t>
  </si>
  <si>
    <t>AP366</t>
  </si>
  <si>
    <t>setCompactionStyle</t>
  </si>
  <si>
    <t>AP367</t>
  </si>
  <si>
    <t>AP368</t>
  </si>
  <si>
    <t>useDirectReads</t>
  </si>
  <si>
    <t>AP369</t>
  </si>
  <si>
    <t>setKeepLogFileNum</t>
  </si>
  <si>
    <t>AP370</t>
  </si>
  <si>
    <t>maxBackgroundCompactions</t>
  </si>
  <si>
    <t>AP371</t>
  </si>
  <si>
    <t>statsDumpPeriodSec</t>
  </si>
  <si>
    <t>AP372</t>
  </si>
  <si>
    <t>maxSubcompactions</t>
  </si>
  <si>
    <t>AP373</t>
  </si>
  <si>
    <t>setAllowFallocate</t>
  </si>
  <si>
    <t>AP374</t>
  </si>
  <si>
    <t>setMaxBackgroundCompactions</t>
  </si>
  <si>
    <t>AP375</t>
  </si>
  <si>
    <t>setSkipStatsUpdateOnDbOpen</t>
  </si>
  <si>
    <t>AP376</t>
  </si>
  <si>
    <t>setLevelZeroFileNumCompactionTrigger</t>
  </si>
  <si>
    <t>AP377</t>
  </si>
  <si>
    <t>reset</t>
  </si>
  <si>
    <t>Statistics</t>
  </si>
  <si>
    <t>AP378</t>
  </si>
  <si>
    <t>AP379</t>
  </si>
  <si>
    <t>setMaxLogFileSize</t>
  </si>
  <si>
    <t>AP380</t>
  </si>
  <si>
    <t>createNewSlice1</t>
  </si>
  <si>
    <t>AP381</t>
  </si>
  <si>
    <t>newEnvOptions</t>
  </si>
  <si>
    <t>AP382</t>
  </si>
  <si>
    <t>allowConcurrentMemtableWrite</t>
  </si>
  <si>
    <t>AP383</t>
  </si>
  <si>
    <t>optimizeForPointLookup</t>
  </si>
  <si>
    <t>AP384</t>
  </si>
  <si>
    <t>manifestPreallocationSize</t>
  </si>
  <si>
    <t>AP385</t>
  </si>
  <si>
    <t>setDisableAutoCompactions</t>
  </si>
  <si>
    <t>AP386</t>
  </si>
  <si>
    <t>createNewLoggerOptions</t>
  </si>
  <si>
    <t>Logger</t>
  </si>
  <si>
    <t>AP387</t>
  </si>
  <si>
    <t>setWalTtlSeconds</t>
  </si>
  <si>
    <t>AP388</t>
  </si>
  <si>
    <t>reportBgIoStats</t>
  </si>
  <si>
    <t>AP389</t>
  </si>
  <si>
    <t>maxBytesForLevelMultiplier</t>
  </si>
  <si>
    <t>AP390</t>
  </si>
  <si>
    <t>setUseMmapReads</t>
  </si>
  <si>
    <t>AP391</t>
  </si>
  <si>
    <t>createNewLoggerDbOptions</t>
  </si>
  <si>
    <t>AP392</t>
  </si>
  <si>
    <t>setDelayedWriteRate</t>
  </si>
  <si>
    <t>AP393</t>
  </si>
  <si>
    <t>setTableFactory</t>
  </si>
  <si>
    <t>AP394</t>
  </si>
  <si>
    <t>setDbWriteBufferSize</t>
  </si>
  <si>
    <t>AP395</t>
  </si>
  <si>
    <t>setReadTier</t>
  </si>
  <si>
    <t>AP396</t>
  </si>
  <si>
    <t>keepLogFileNum</t>
  </si>
  <si>
    <t>AP397</t>
  </si>
  <si>
    <t>setSnapshot</t>
  </si>
  <si>
    <t>AP398</t>
  </si>
  <si>
    <t>getHistogramString</t>
  </si>
  <si>
    <t>AP399</t>
  </si>
  <si>
    <t>hardPendingCompactionBytesLimit</t>
  </si>
  <si>
    <t>AP400</t>
  </si>
  <si>
    <t>AP401</t>
  </si>
  <si>
    <t>setBackupLogFiles</t>
  </si>
  <si>
    <t>AP402</t>
  </si>
  <si>
    <t>setBackupRateLimiter</t>
  </si>
  <si>
    <t>AP403</t>
  </si>
  <si>
    <t>setMaxSuccessiveMerges</t>
  </si>
  <si>
    <t>AP404</t>
  </si>
  <si>
    <t>open</t>
  </si>
  <si>
    <t>AP405</t>
  </si>
  <si>
    <t>newTableReaderForCompactionInputs</t>
  </si>
  <si>
    <t>AP406</t>
  </si>
  <si>
    <t>walSizeLimitMB</t>
  </si>
  <si>
    <t>AP407</t>
  </si>
  <si>
    <t>disableAutoCompactions</t>
  </si>
  <si>
    <t>AP408</t>
  </si>
  <si>
    <t>setMergeOperator</t>
  </si>
  <si>
    <t>AP409</t>
  </si>
  <si>
    <t>AP410</t>
  </si>
  <si>
    <t>infoLogLevel</t>
  </si>
  <si>
    <t>AP411</t>
  </si>
  <si>
    <t>setDumpMallocStats</t>
  </si>
  <si>
    <t>AP412</t>
  </si>
  <si>
    <t>setFdCloexec</t>
  </si>
  <si>
    <t>AP413</t>
  </si>
  <si>
    <t>setIterateUpperBound</t>
  </si>
  <si>
    <t>AP414</t>
  </si>
  <si>
    <t>shareFilesWithChecksum</t>
  </si>
  <si>
    <t>AP415</t>
  </si>
  <si>
    <t>setDeleteObsoleteFilesPeriodMicros</t>
  </si>
  <si>
    <t>AP416</t>
  </si>
  <si>
    <t>newColumnFamilyOptions</t>
  </si>
  <si>
    <t>AP417</t>
  </si>
  <si>
    <t>optimizeFiltersForHits</t>
  </si>
  <si>
    <t>AP418</t>
  </si>
  <si>
    <t>maxBackgroundJobs</t>
  </si>
  <si>
    <t>AP419</t>
  </si>
  <si>
    <t>AP420</t>
  </si>
  <si>
    <t>setInfoLogLevel</t>
  </si>
  <si>
    <t>AP421</t>
  </si>
  <si>
    <t>setUseDirectIoForFlushAndCompaction</t>
  </si>
  <si>
    <t>AP422</t>
  </si>
  <si>
    <t>setReadaheadSize</t>
  </si>
  <si>
    <t>AP423</t>
  </si>
  <si>
    <t>AP424</t>
  </si>
  <si>
    <t>AP425</t>
  </si>
  <si>
    <t>AP426</t>
  </si>
  <si>
    <t>getTickerCount</t>
  </si>
  <si>
    <t>AP427</t>
  </si>
  <si>
    <t>setNewTableReaderForCompactionInputs</t>
  </si>
  <si>
    <t>AP428</t>
  </si>
  <si>
    <t>compactionReadaheadSize</t>
  </si>
  <si>
    <t>AP429</t>
  </si>
  <si>
    <t>AP430</t>
  </si>
  <si>
    <t>setCompressionPerLevel</t>
  </si>
  <si>
    <t>AP431</t>
  </si>
  <si>
    <t>setUseFsync</t>
  </si>
  <si>
    <t>AP432</t>
  </si>
  <si>
    <t>failIfOptionsFileError</t>
  </si>
  <si>
    <t>AP433</t>
  </si>
  <si>
    <t>maxBytesForLevelMultiplierAdditional</t>
  </si>
  <si>
    <t>AP434</t>
  </si>
  <si>
    <t>inplaceUpdateSupport</t>
  </si>
  <si>
    <t>AP435</t>
  </si>
  <si>
    <t>setAllow2pc</t>
  </si>
  <si>
    <t>AP436</t>
  </si>
  <si>
    <t>openCF</t>
  </si>
  <si>
    <t>TtlDB</t>
  </si>
  <si>
    <t>AP437</t>
  </si>
  <si>
    <t>append</t>
  </si>
  <si>
    <t>AP438</t>
  </si>
  <si>
    <t>walTtlSeconds</t>
  </si>
  <si>
    <t>AP439</t>
  </si>
  <si>
    <t>setWritableFileMaxBufferSize</t>
  </si>
  <si>
    <t>AP440</t>
  </si>
  <si>
    <t>setBloomLocality</t>
  </si>
  <si>
    <t>AP441</t>
  </si>
  <si>
    <t>levelZeroFileNumCompactionTrigger</t>
  </si>
  <si>
    <t>AP442</t>
  </si>
  <si>
    <t>setUseDirectReads</t>
  </si>
  <si>
    <t>AP443</t>
  </si>
  <si>
    <t>AP444</t>
  </si>
  <si>
    <t>newDBOptions</t>
  </si>
  <si>
    <t>AP445</t>
  </si>
  <si>
    <t>dbWriteBufferSize</t>
  </si>
  <si>
    <t>AP446</t>
  </si>
  <si>
    <t>setAllowConcurrentMemtableWrite</t>
  </si>
  <si>
    <t>AP447</t>
  </si>
  <si>
    <t>AP448</t>
  </si>
  <si>
    <t>AP449</t>
  </si>
  <si>
    <t>useFixedLengthPrefixExtractor</t>
  </si>
  <si>
    <t>AP450</t>
  </si>
  <si>
    <t>levelZeroSlowdownWritesTrigger</t>
  </si>
  <si>
    <t>AP451</t>
  </si>
  <si>
    <t>AP452</t>
  </si>
  <si>
    <t>setCompactionPriority</t>
  </si>
  <si>
    <t>AP453</t>
  </si>
  <si>
    <t>setCreateIfMissing</t>
  </si>
  <si>
    <t>AP454</t>
  </si>
  <si>
    <t>recycleLogFileNum</t>
  </si>
  <si>
    <t>AP455</t>
  </si>
  <si>
    <t>setTargetFileSizeBase</t>
  </si>
  <si>
    <t>AP456</t>
  </si>
  <si>
    <t>allowFallocate</t>
  </si>
  <si>
    <t>AP457</t>
  </si>
  <si>
    <t>setTableCacheNumshardbits</t>
  </si>
  <si>
    <t>AP458</t>
  </si>
  <si>
    <t>setBackgroundPurgeOnIteratorCleanup</t>
  </si>
  <si>
    <t>AP459</t>
  </si>
  <si>
    <t>useDirectIoForFlushAndCompaction</t>
  </si>
  <si>
    <t>AP460</t>
  </si>
  <si>
    <t>AP461</t>
  </si>
  <si>
    <t>writableFileMaxBufferSize</t>
  </si>
  <si>
    <t>AP462</t>
  </si>
  <si>
    <t>setWalDir</t>
  </si>
  <si>
    <t>AP463</t>
  </si>
  <si>
    <t>AP464</t>
  </si>
  <si>
    <t>finish</t>
  </si>
  <si>
    <t>AP465</t>
  </si>
  <si>
    <t>optimizeForSmallDb</t>
  </si>
  <si>
    <t>AP466</t>
  </si>
  <si>
    <t>AP467</t>
  </si>
  <si>
    <t>level0SlowdownWritesTrigger</t>
  </si>
  <si>
    <t>AP468</t>
  </si>
  <si>
    <t>level0StopWritesTrigger</t>
  </si>
  <si>
    <t>AP469</t>
  </si>
  <si>
    <t>AP470</t>
  </si>
  <si>
    <t>createMissingColumnFamilies</t>
  </si>
  <si>
    <t>AP471</t>
  </si>
  <si>
    <t>setLevelZeroStopWritesTrigger</t>
  </si>
  <si>
    <t>AP472</t>
  </si>
  <si>
    <t>setAdviseRandomOnOpen</t>
  </si>
  <si>
    <t>AP473</t>
  </si>
  <si>
    <t>paranoidFileChecks</t>
  </si>
  <si>
    <t>AP474</t>
  </si>
  <si>
    <t>setMaxTotalWalSize</t>
  </si>
  <si>
    <t>AP475</t>
  </si>
  <si>
    <t>AP476</t>
  </si>
  <si>
    <t>delayedWriteRate</t>
  </si>
  <si>
    <t>AP477</t>
  </si>
  <si>
    <t>compactionStyle</t>
  </si>
  <si>
    <t>AP478</t>
  </si>
  <si>
    <t>setCompactionReadaheadSize</t>
  </si>
  <si>
    <t>AP479</t>
  </si>
  <si>
    <t>setEnableWriteThreadAdaptiveYield</t>
  </si>
  <si>
    <t>AP480</t>
  </si>
  <si>
    <t>AP481</t>
  </si>
  <si>
    <t>setMaxBackgroundFlushes</t>
  </si>
  <si>
    <t>AP482</t>
  </si>
  <si>
    <t>maxWriteBufferNumberToMaintain</t>
  </si>
  <si>
    <t>AP483</t>
  </si>
  <si>
    <t>setMemtableHugePageSize</t>
  </si>
  <si>
    <t>AP484</t>
  </si>
  <si>
    <t>AP485</t>
  </si>
  <si>
    <t>newReadOptions</t>
  </si>
  <si>
    <t>AP486</t>
  </si>
  <si>
    <t>createColumnFamily</t>
  </si>
  <si>
    <t>AP487</t>
  </si>
  <si>
    <t>flush</t>
  </si>
  <si>
    <t>AP488</t>
  </si>
  <si>
    <t>setParanoidFileChecks</t>
  </si>
  <si>
    <t>AP489</t>
  </si>
  <si>
    <t>AP490</t>
  </si>
  <si>
    <t>setTargetFileSizeMultiplier</t>
  </si>
  <si>
    <t>AP491</t>
  </si>
  <si>
    <t>AP492</t>
  </si>
  <si>
    <t>AP493</t>
  </si>
  <si>
    <t>setSequence</t>
  </si>
  <si>
    <t>AP494</t>
  </si>
  <si>
    <t>setNumLevels</t>
  </si>
  <si>
    <t>AP495</t>
  </si>
  <si>
    <t>setAllowMmapWrites</t>
  </si>
  <si>
    <t>AP496</t>
  </si>
  <si>
    <t>AP497</t>
  </si>
  <si>
    <t>setAccessHintOnCompactionStart</t>
  </si>
  <si>
    <t>AP498</t>
  </si>
  <si>
    <t>inplaceUpdateNumLocks</t>
  </si>
  <si>
    <t>AP499</t>
  </si>
  <si>
    <t>setMaxBackgroundJobs</t>
  </si>
  <si>
    <t>AP500</t>
  </si>
  <si>
    <t>setBaseBackgroundCompactions</t>
  </si>
  <si>
    <t>AP501</t>
  </si>
  <si>
    <t>setErrorIfExists</t>
  </si>
  <si>
    <t>AP502</t>
  </si>
  <si>
    <t>setStatsLevel</t>
  </si>
  <si>
    <t>AP503</t>
  </si>
  <si>
    <t>AP504</t>
  </si>
  <si>
    <t>AP505</t>
  </si>
  <si>
    <t>setVerifyChecksums</t>
  </si>
  <si>
    <t>AP506</t>
  </si>
  <si>
    <t>AP507</t>
  </si>
  <si>
    <t>AP508</t>
  </si>
  <si>
    <t>adviseRandomOnOpen</t>
  </si>
  <si>
    <t>AP509</t>
  </si>
  <si>
    <t>writeThreadSlowYieldUsec</t>
  </si>
  <si>
    <t>AP510</t>
  </si>
  <si>
    <t>getColumnFamilyOptionsFromProps</t>
  </si>
  <si>
    <t>AP511</t>
  </si>
  <si>
    <t>setMaxWriteBufferNumber</t>
  </si>
  <si>
    <t>AP512</t>
  </si>
  <si>
    <t>deleteObsoleteFilesPeriodMicros</t>
  </si>
  <si>
    <t>AP513</t>
  </si>
  <si>
    <t>AP514</t>
  </si>
  <si>
    <t>AP515</t>
  </si>
  <si>
    <t>setRecycleLogFileNum</t>
  </si>
  <si>
    <t>AP516</t>
  </si>
  <si>
    <t>AP517</t>
  </si>
  <si>
    <t>setMaxTableFilesSizeFIFO</t>
  </si>
  <si>
    <t>AP518</t>
  </si>
  <si>
    <t>copyReadOptions</t>
  </si>
  <si>
    <t>AP519</t>
  </si>
  <si>
    <t>AP520</t>
  </si>
  <si>
    <t>setCompressionOptions</t>
  </si>
  <si>
    <t>AP521</t>
  </si>
  <si>
    <t>AP522</t>
  </si>
  <si>
    <t>pauseBackgroundWork</t>
  </si>
  <si>
    <t>AP523</t>
  </si>
  <si>
    <t>pinData</t>
  </si>
  <si>
    <t>AP524</t>
  </si>
  <si>
    <t>getHistogramData</t>
  </si>
  <si>
    <t>AP525</t>
  </si>
  <si>
    <t>AP526</t>
  </si>
  <si>
    <t>getUpdatesSince</t>
  </si>
  <si>
    <t>AP527</t>
  </si>
  <si>
    <t>AP528</t>
  </si>
  <si>
    <t>callbackTriggerIntervalSize</t>
  </si>
  <si>
    <t>AP529</t>
  </si>
  <si>
    <t>dumpMallocStats</t>
  </si>
  <si>
    <t>AP530</t>
  </si>
  <si>
    <t>isFdCloseOnExec</t>
  </si>
  <si>
    <t>AP531</t>
  </si>
  <si>
    <t>AP532</t>
  </si>
  <si>
    <t>setForceConsistencyChecks</t>
  </si>
  <si>
    <t>AP533</t>
  </si>
  <si>
    <t>AP534</t>
  </si>
  <si>
    <t>AP535</t>
  </si>
  <si>
    <t>AP536</t>
  </si>
  <si>
    <t>compressionType</t>
  </si>
  <si>
    <t>AP537</t>
  </si>
  <si>
    <t>levelZeroStopWritesTrigger</t>
  </si>
  <si>
    <t>AP538</t>
  </si>
  <si>
    <t>AP539</t>
  </si>
  <si>
    <t>AP540</t>
  </si>
  <si>
    <t>setLogger</t>
  </si>
  <si>
    <t>AP541</t>
  </si>
  <si>
    <t>AP542</t>
  </si>
  <si>
    <t>setMaxBytesForLevelBase</t>
  </si>
  <si>
    <t>AP543</t>
  </si>
  <si>
    <t>dbLogDir</t>
  </si>
  <si>
    <t>AP544</t>
  </si>
  <si>
    <t>softPendingCompactionBytesLimit</t>
  </si>
  <si>
    <t>AP545</t>
  </si>
  <si>
    <t>useDirectWrites</t>
  </si>
  <si>
    <t>AP546</t>
  </si>
  <si>
    <t>setLevel0FileNumCompactionTrigger</t>
  </si>
  <si>
    <t>AP547</t>
  </si>
  <si>
    <t>AP548</t>
  </si>
  <si>
    <t>dropColumnFamily</t>
  </si>
  <si>
    <t>AP549</t>
  </si>
  <si>
    <t>AP550</t>
  </si>
  <si>
    <t>setAllowMmapReads</t>
  </si>
  <si>
    <t>AP551</t>
  </si>
  <si>
    <t>setMergeOperatorName</t>
  </si>
  <si>
    <t>AP552</t>
  </si>
  <si>
    <t>AP553</t>
  </si>
  <si>
    <t>AP554</t>
  </si>
  <si>
    <t>compactionPriority</t>
  </si>
  <si>
    <t>AP555</t>
  </si>
  <si>
    <t>getAndResetTickerCount</t>
  </si>
  <si>
    <t>AP556</t>
  </si>
  <si>
    <t>verifyChecksums</t>
  </si>
  <si>
    <t>AP557</t>
  </si>
  <si>
    <t>setShareTableFiles</t>
  </si>
  <si>
    <t>AP558</t>
  </si>
  <si>
    <t>setStatistics</t>
  </si>
  <si>
    <t>AP559</t>
  </si>
  <si>
    <t>setWalSizeLimitMB</t>
  </si>
  <si>
    <t>AP560</t>
  </si>
  <si>
    <t>dbPathsLen</t>
  </si>
  <si>
    <t>AP561</t>
  </si>
  <si>
    <t>AP562</t>
  </si>
  <si>
    <t>useAdaptiveMutex</t>
  </si>
  <si>
    <t>AP563</t>
  </si>
  <si>
    <t>ingestExternalFile</t>
  </si>
  <si>
    <t>AP564</t>
  </si>
  <si>
    <t>setCallbackTriggerIntervalSize</t>
  </si>
  <si>
    <t>AP565</t>
  </si>
  <si>
    <t>AP566</t>
  </si>
  <si>
    <t>setDbPaths</t>
  </si>
  <si>
    <t>AP567</t>
  </si>
  <si>
    <t>AP568</t>
  </si>
  <si>
    <t>AP569</t>
  </si>
  <si>
    <t>AP570</t>
  </si>
  <si>
    <t>setRateLimiter</t>
  </si>
  <si>
    <t>AP571</t>
  </si>
  <si>
    <t>setAvoidFlushDuringShutdown</t>
  </si>
  <si>
    <t>AP572</t>
  </si>
  <si>
    <t>write1</t>
  </si>
  <si>
    <t>AP573</t>
  </si>
  <si>
    <t>AP574</t>
  </si>
  <si>
    <t>AP575</t>
  </si>
  <si>
    <t>AP576</t>
  </si>
  <si>
    <t>setHardPendingCompactionBytesLimit</t>
  </si>
  <si>
    <t>AP577</t>
  </si>
  <si>
    <t>optimizeUniversalStyleCompaction</t>
  </si>
  <si>
    <t>AP578</t>
  </si>
  <si>
    <t>minWriteBufferNumberToMerge</t>
  </si>
  <si>
    <t>AP579</t>
  </si>
  <si>
    <t>setIgnoreRangeDeletions</t>
  </si>
  <si>
    <t>AP580</t>
  </si>
  <si>
    <t>setWriteBufferSize</t>
  </si>
  <si>
    <t>AP581</t>
  </si>
  <si>
    <t>AP582</t>
  </si>
  <si>
    <t>bottommostCompressionType</t>
  </si>
  <si>
    <t>AP583</t>
  </si>
  <si>
    <t>AP584</t>
  </si>
  <si>
    <t>maxWriteBufferNumber</t>
  </si>
  <si>
    <t>AP585</t>
  </si>
  <si>
    <t>numLevels</t>
  </si>
  <si>
    <t>AP586</t>
  </si>
  <si>
    <t>setLevelCompactionDynamicLevelBytes</t>
  </si>
  <si>
    <t>AP587</t>
  </si>
  <si>
    <t>setUseDirectWrites</t>
  </si>
  <si>
    <t>AP588</t>
  </si>
  <si>
    <t>AP589</t>
  </si>
  <si>
    <t>write0</t>
  </si>
  <si>
    <t>AP590</t>
  </si>
  <si>
    <t>memTableFactoryName</t>
  </si>
  <si>
    <t>AP591</t>
  </si>
  <si>
    <t>setOptions</t>
  </si>
  <si>
    <t>AP592</t>
  </si>
  <si>
    <t>setIsFdCloseOnExec</t>
  </si>
  <si>
    <t>AP593</t>
  </si>
  <si>
    <t>setAllowFAllocate</t>
  </si>
  <si>
    <t>AP594</t>
  </si>
  <si>
    <t>allowMmapWrites</t>
  </si>
  <si>
    <t>AP595</t>
  </si>
  <si>
    <t>useMmapReads</t>
  </si>
  <si>
    <t>AP596</t>
  </si>
  <si>
    <t>AP597</t>
  </si>
  <si>
    <t>managed</t>
  </si>
  <si>
    <t>AP598</t>
  </si>
  <si>
    <t>AP599</t>
  </si>
  <si>
    <t>toString</t>
  </si>
  <si>
    <t>AP600</t>
  </si>
  <si>
    <t>AP601</t>
  </si>
  <si>
    <t>allowMmapReads</t>
  </si>
  <si>
    <t>AP602</t>
  </si>
  <si>
    <t>AP603</t>
  </si>
  <si>
    <t>setMaxSequentialSkipInIterations</t>
  </si>
  <si>
    <t>AP604</t>
  </si>
  <si>
    <t>sync</t>
  </si>
  <si>
    <t>AP605</t>
  </si>
  <si>
    <t>AP606</t>
  </si>
  <si>
    <t>AP607</t>
  </si>
  <si>
    <t>getLatestSequenceNumber</t>
  </si>
  <si>
    <t>AP608</t>
  </si>
  <si>
    <t>AP609</t>
  </si>
  <si>
    <t>AP610</t>
  </si>
  <si>
    <t>maxBackgroundOperations</t>
  </si>
  <si>
    <t>AP611</t>
  </si>
  <si>
    <t>AP612</t>
  </si>
  <si>
    <t>setStatsDumpPeriodSec</t>
  </si>
  <si>
    <t>AP613</t>
  </si>
  <si>
    <t>memtableHugePageSize</t>
  </si>
  <si>
    <t>AP614</t>
  </si>
  <si>
    <t>AP615</t>
  </si>
  <si>
    <t>AP616</t>
  </si>
  <si>
    <t>AP617</t>
  </si>
  <si>
    <t>AP618</t>
  </si>
  <si>
    <t>getSnapshot</t>
  </si>
  <si>
    <t>AP619</t>
  </si>
  <si>
    <t>AP620</t>
  </si>
  <si>
    <t>AP621</t>
  </si>
  <si>
    <t>setMinWriteBufferNumberToMerge</t>
  </si>
  <si>
    <t>AP622</t>
  </si>
  <si>
    <t>randomAccessMaxBufferSize</t>
  </si>
  <si>
    <t>AP623</t>
  </si>
  <si>
    <t>AP624</t>
  </si>
  <si>
    <t>iterateUpperBound</t>
  </si>
  <si>
    <t>AP625</t>
  </si>
  <si>
    <t>newStatistics</t>
  </si>
  <si>
    <t>AP626</t>
  </si>
  <si>
    <t>setRestoreRateLimit</t>
  </si>
  <si>
    <t>AP627</t>
  </si>
  <si>
    <t>setRestoreRateLimiter</t>
  </si>
  <si>
    <t>AP628</t>
  </si>
  <si>
    <t>prefixSameAsStart</t>
  </si>
  <si>
    <t>AP629</t>
  </si>
  <si>
    <t>AP630</t>
  </si>
  <si>
    <t>setInplaceUpdateNumLocks</t>
  </si>
  <si>
    <t>AP631</t>
  </si>
  <si>
    <t>backupRateLimit</t>
  </si>
  <si>
    <t>AP632</t>
  </si>
  <si>
    <t>optimizeLevelStyleCompaction</t>
  </si>
  <si>
    <t>AP633</t>
  </si>
  <si>
    <t>setSetFdCloexec</t>
  </si>
  <si>
    <t>AP634</t>
  </si>
  <si>
    <t>writeBufferSize</t>
  </si>
  <si>
    <t>AP635</t>
  </si>
  <si>
    <t>level0FileNumCompactionTrigger</t>
  </si>
  <si>
    <t>AP636</t>
  </si>
  <si>
    <t>targetFileSizeBase</t>
  </si>
  <si>
    <t>AP637</t>
  </si>
  <si>
    <t>AP638</t>
  </si>
  <si>
    <t>AP639</t>
  </si>
  <si>
    <t>AP640</t>
  </si>
  <si>
    <t>AP641</t>
  </si>
  <si>
    <t>AP642</t>
  </si>
  <si>
    <t>AP643</t>
  </si>
  <si>
    <t>AP644</t>
  </si>
  <si>
    <t>setCompactionFilterHandle</t>
  </si>
  <si>
    <t>AP645</t>
  </si>
  <si>
    <t>AP646</t>
  </si>
  <si>
    <t>destroyDB</t>
  </si>
  <si>
    <t>AP647</t>
  </si>
  <si>
    <t>shareTableFiles</t>
  </si>
  <si>
    <t>AP648</t>
  </si>
  <si>
    <t>readaheadSize</t>
  </si>
  <si>
    <t>AP649</t>
  </si>
  <si>
    <t>AP650</t>
  </si>
  <si>
    <t>AP651</t>
  </si>
  <si>
    <t>AP652</t>
  </si>
  <si>
    <t>enableWriteThreadAdaptiveYield</t>
  </si>
  <si>
    <t>AP653</t>
  </si>
  <si>
    <t>maxTableFilesSizeFIFO</t>
  </si>
  <si>
    <t>AP654</t>
  </si>
  <si>
    <t>forceConsistencyChecks</t>
  </si>
  <si>
    <t>AP655</t>
  </si>
  <si>
    <t>ignoreRangeDeletions</t>
  </si>
  <si>
    <t>AP656</t>
  </si>
  <si>
    <t>AP657</t>
  </si>
  <si>
    <t>put</t>
  </si>
  <si>
    <t>AP658</t>
  </si>
  <si>
    <t>setMemtablePrefixBloomSizeRatio</t>
  </si>
  <si>
    <t>AP659</t>
  </si>
  <si>
    <t>AP660</t>
  </si>
  <si>
    <t>AP661</t>
  </si>
  <si>
    <t>AP662</t>
  </si>
  <si>
    <t>AP663</t>
  </si>
  <si>
    <t>setRowCache</t>
  </si>
  <si>
    <t>AP664</t>
  </si>
  <si>
    <t>useCappedPrefixExtractor</t>
  </si>
  <si>
    <t>AP665</t>
  </si>
  <si>
    <t>AP666</t>
  </si>
  <si>
    <t>setDestroyOldData</t>
  </si>
  <si>
    <t>AP667</t>
  </si>
  <si>
    <t>setCompressionType</t>
  </si>
  <si>
    <t>AP668</t>
  </si>
  <si>
    <t>setOptimizeFiltersForHits</t>
  </si>
  <si>
    <t>AP669</t>
  </si>
  <si>
    <t>skipStatsUpdateOnDbOpen</t>
  </si>
  <si>
    <t>AP670</t>
  </si>
  <si>
    <t>targetFileSizeMultiplier</t>
  </si>
  <si>
    <t>AP671</t>
  </si>
  <si>
    <t>AP672</t>
  </si>
  <si>
    <t>setSoftPendingCompactionBytesLimit</t>
  </si>
  <si>
    <t>bloomLocality</t>
  </si>
  <si>
    <t>setMaxCompactionBytes</t>
  </si>
  <si>
    <t>walDir</t>
  </si>
  <si>
    <t>compressionPerLevel</t>
  </si>
  <si>
    <t>setPinData</t>
  </si>
  <si>
    <t>setMaxFileOpeningThreads</t>
  </si>
  <si>
    <t>snapshot</t>
  </si>
  <si>
    <t>getContents</t>
  </si>
  <si>
    <t>setBottommostCompressionType</t>
  </si>
  <si>
    <t>maxBytesForLevelBase</t>
  </si>
  <si>
    <t>maxTotalWalSize</t>
  </si>
  <si>
    <t>setWalRecoveryMode</t>
  </si>
  <si>
    <t>setBackupEnv</t>
  </si>
  <si>
    <t>backupDir</t>
  </si>
  <si>
    <t>setLogFileTimeToRoll</t>
  </si>
  <si>
    <t>dbPaths</t>
  </si>
  <si>
    <t>walRecoveryMode</t>
  </si>
  <si>
    <t>setMaxManifestFileSize</t>
  </si>
  <si>
    <t>enableFileDeletions</t>
  </si>
  <si>
    <t>setCompactionOptionsUniversal</t>
  </si>
  <si>
    <t>setTotalOrderSeek</t>
  </si>
  <si>
    <t>setAvoidFlushDuringRecovery</t>
  </si>
  <si>
    <t>avoidFlushDuringRecovery</t>
  </si>
  <si>
    <t>setManaged</t>
  </si>
  <si>
    <t>avoidFlushDuringShutdown</t>
  </si>
  <si>
    <t>listColumnFamilies</t>
  </si>
  <si>
    <t>levelCompactionDynamicLevelBytes</t>
  </si>
  <si>
    <t>bytesPerSync</t>
  </si>
  <si>
    <t>setWalBytesPerSync</t>
  </si>
  <si>
    <t>getDefaultColumnFamily</t>
  </si>
  <si>
    <t>setCompactionFilterFactoryHandle</t>
  </si>
  <si>
    <t>memtablePrefixBloomSizeRatio</t>
  </si>
  <si>
    <t>get</t>
  </si>
  <si>
    <t>newOptions</t>
  </si>
  <si>
    <t>setEnableThreadTracking</t>
  </si>
  <si>
    <t>delete</t>
  </si>
  <si>
    <t>fallocateWithKeepSize</t>
  </si>
  <si>
    <t>sequence</t>
  </si>
  <si>
    <t>walBytesPerSync</t>
  </si>
  <si>
    <t>setBackupRateLimit</t>
  </si>
  <si>
    <t>restoreRateLimit</t>
  </si>
  <si>
    <t>prepareForBulkLoad</t>
  </si>
  <si>
    <t>releaseSnapshot</t>
  </si>
  <si>
    <t>useMmapWrites</t>
  </si>
  <si>
    <t>setManifestPreallocationSize</t>
  </si>
  <si>
    <t>totalOrderSeek</t>
  </si>
  <si>
    <t>allowFAllocate</t>
  </si>
  <si>
    <t>setTailing</t>
  </si>
  <si>
    <t>maxManifestFileSize</t>
  </si>
  <si>
    <t>tailing</t>
  </si>
  <si>
    <t>setFillCache</t>
  </si>
  <si>
    <t>iterator0</t>
  </si>
  <si>
    <t>readTier</t>
  </si>
  <si>
    <t>setShareFilesWithChecksum</t>
  </si>
  <si>
    <t>setMaxBackgroundOperations</t>
  </si>
  <si>
    <t>iterator1</t>
  </si>
  <si>
    <t>setSync</t>
  </si>
  <si>
    <t>continueBackgroundWork</t>
  </si>
  <si>
    <t>backupLogFiles</t>
  </si>
  <si>
    <t>statsLevel</t>
  </si>
  <si>
    <t>setPrefixSameAsStart</t>
  </si>
  <si>
    <t>backgroundPurgeOnIteratorCleanup</t>
  </si>
  <si>
    <t>destroyOldData</t>
  </si>
  <si>
    <t>getDBOptionsFromProps</t>
  </si>
  <si>
    <t>setUseMmapWrites</t>
  </si>
  <si>
    <t>TooMuchClustering</t>
  </si>
  <si>
    <t>WriteOptions</t>
  </si>
  <si>
    <t>WBWIRocksIterator</t>
  </si>
  <si>
    <t>CompressionOptions</t>
  </si>
  <si>
    <t>IngestExternalFileOptions</t>
  </si>
  <si>
    <t>AbstractSlice&lt;T&gt;</t>
  </si>
  <si>
    <t>RateLimiter</t>
  </si>
  <si>
    <t>DirectSlice</t>
  </si>
  <si>
    <t>CompactionOptionsUniversal</t>
  </si>
  <si>
    <t>BackupEngine</t>
  </si>
  <si>
    <t>RocksIterator</t>
  </si>
  <si>
    <t>TooMuchScattering</t>
  </si>
  <si>
    <t>RemoveEmptyValueCompactionFilter</t>
  </si>
  <si>
    <t>Comparator</t>
  </si>
  <si>
    <t>RocksMemEnv</t>
  </si>
  <si>
    <t>BlockBasedTableConfig</t>
  </si>
  <si>
    <t>HashSkipListMemTableConfig</t>
  </si>
  <si>
    <t>TransactionLogIterator</t>
  </si>
  <si>
    <t>Env</t>
  </si>
  <si>
    <t>VectorMemTableConfig</t>
  </si>
  <si>
    <t>RocksCallbackObject</t>
  </si>
  <si>
    <t>AbstractCompactionFilter&lt;T extends AbstractSlice&lt;?&gt;&gt;</t>
  </si>
  <si>
    <t>Checkpoint</t>
  </si>
  <si>
    <t>CompactionOptionsFIFO</t>
  </si>
  <si>
    <t>ClockCache</t>
  </si>
  <si>
    <t>SkipListMemTableConfig</t>
  </si>
  <si>
    <t>BloomFilter</t>
  </si>
  <si>
    <t>OptionsUtil</t>
  </si>
  <si>
    <t>FlushOptions</t>
  </si>
  <si>
    <t>CassandraCompactionFilter</t>
  </si>
  <si>
    <t>StringAppendOperator</t>
  </si>
  <si>
    <t>HashLinkedListMemTableConfig</t>
  </si>
  <si>
    <t>PlainTableConfig</t>
  </si>
  <si>
    <t>ColumnFamilyHandle</t>
  </si>
  <si>
    <t>ComparatorOptions</t>
  </si>
  <si>
    <t>LRUCache</t>
  </si>
  <si>
    <t>DirectComparator</t>
  </si>
  <si>
    <t>CassandraValueMergeOperator</t>
  </si>
  <si>
    <t>RestoreOptions</t>
  </si>
  <si>
    <t>False negative</t>
  </si>
  <si>
    <t>Recall</t>
  </si>
  <si>
    <t>rocksdb/java/benchmark/src/main/java/org/rocksdb/benchmark/DbBenchmark.java</t>
  </si>
  <si>
    <t>BytewiseComparatorTest</t>
  </si>
  <si>
    <t>org.rocksdb.util</t>
  </si>
  <si>
    <t>rocksdb/java/src/test/java/org/rocksdb/util/BytewiseComparatorTest.java</t>
  </si>
  <si>
    <t>WriteOptionsTest</t>
  </si>
  <si>
    <t>rocksdb/java/src/test/java/org/rocksdb/WriteOptionsTest.java</t>
  </si>
  <si>
    <t>WriteBatchWithIndexTest</t>
  </si>
  <si>
    <t>rocksdb/java/src/test/java/org/rocksdb/WriteBatchWithIndexTest.java</t>
  </si>
  <si>
    <t>rocksdb/java/src/test/java/org/rocksdb/WriteBatchTest.java</t>
  </si>
  <si>
    <t>WalFilterTest</t>
  </si>
  <si>
    <t>rocksdb/java/src/test/java/org/rocksdb/WalFilterTest.java</t>
  </si>
  <si>
    <t>TtlDBTest</t>
  </si>
  <si>
    <t>rocksdb/java/src/test/java/org/rocksdb/TtlDBTest.java</t>
  </si>
  <si>
    <t>TransactionTest</t>
  </si>
  <si>
    <t>rocksdb/java/src/test/java/org/rocksdb/TransactionTest.java</t>
  </si>
  <si>
    <t>TransactionOptionsTest</t>
  </si>
  <si>
    <t>rocksdb/java/src/test/java/org/rocksdb/TransactionOptionsTest.java</t>
  </si>
  <si>
    <t>TransactionLogIteratorTest</t>
  </si>
  <si>
    <t>rocksdb/java/src/test/java/org/rocksdb/TransactionLogIteratorTest.java</t>
  </si>
  <si>
    <t>TransactionDBTest</t>
  </si>
  <si>
    <t>rocksdb/java/src/test/java/org/rocksdb/TransactionDBTest.java</t>
  </si>
  <si>
    <t>TransactionDBOptionsTest</t>
  </si>
  <si>
    <t>rocksdb/java/src/test/java/org/rocksdb/TransactionDBOptionsTest.java</t>
  </si>
  <si>
    <t>TableFilterTest</t>
  </si>
  <si>
    <t>rocksdb/java/src/test/java/org/rocksdb/TableFilterTest.java</t>
  </si>
  <si>
    <t>StatisticsTest</t>
  </si>
  <si>
    <t>rocksdb/java/src/test/java/org/rocksdb/StatisticsTest.java</t>
  </si>
  <si>
    <t>SstFileWriterTest</t>
  </si>
  <si>
    <t>rocksdb/java/src/test/java/org/rocksdb/SstFileWriterTest.java</t>
  </si>
  <si>
    <t>SstFileReaderTest</t>
  </si>
  <si>
    <t>rocksdb/java/src/test/java/org/rocksdb/SstFileReaderTest.java</t>
  </si>
  <si>
    <t>SstFileManagerTest</t>
  </si>
  <si>
    <t>rocksdb/java/src/test/java/org/rocksdb/SstFileManagerTest.java</t>
  </si>
  <si>
    <t>SnapshotTest</t>
  </si>
  <si>
    <t>rocksdb/java/src/test/java/org/rocksdb/SnapshotTest.java</t>
  </si>
  <si>
    <t>RocksMemEnvTest</t>
  </si>
  <si>
    <t>rocksdb/java/src/test/java/org/rocksdb/RocksMemEnvTest.java</t>
  </si>
  <si>
    <t>RocksIteratorTest</t>
  </si>
  <si>
    <t>rocksdb/java/src/test/java/org/rocksdb/RocksIteratorTest.java</t>
  </si>
  <si>
    <t>RocksDBTest</t>
  </si>
  <si>
    <t>rocksdb/java/src/test/java/org/rocksdb/RocksDBTest.java</t>
  </si>
  <si>
    <t>ReadOptionsTest</t>
  </si>
  <si>
    <t>rocksdb/java/src/test/java/org/rocksdb/ReadOptionsTest.java</t>
  </si>
  <si>
    <t>ReadOnlyTest</t>
  </si>
  <si>
    <t>rocksdb/java/src/test/java/org/rocksdb/ReadOnlyTest.java</t>
  </si>
  <si>
    <t>RateLimiterTest</t>
  </si>
  <si>
    <t>rocksdb/java/src/test/java/org/rocksdb/RateLimiterTest.java</t>
  </si>
  <si>
    <t>OptionsUtilTest</t>
  </si>
  <si>
    <t>rocksdb/java/src/test/java/org/rocksdb/OptionsUtilTest.java</t>
  </si>
  <si>
    <t>OptionsTest</t>
  </si>
  <si>
    <t>rocksdb/java/src/test/java/org/rocksdb/OptionsTest.java</t>
  </si>
  <si>
    <t>OptimisticTransactionTest</t>
  </si>
  <si>
    <t>rocksdb/java/src/test/java/org/rocksdb/OptimisticTransactionTest.java</t>
  </si>
  <si>
    <t>OptimisticTransactionDBTest</t>
  </si>
  <si>
    <t>rocksdb/java/src/test/java/org/rocksdb/OptimisticTransactionDBTest.java</t>
  </si>
  <si>
    <t>NativeComparatorWrapperTest</t>
  </si>
  <si>
    <t>rocksdb/java/src/test/java/org/rocksdb/NativeComparatorWrapperTest.java</t>
  </si>
  <si>
    <t>MutableDBOptionsTest</t>
  </si>
  <si>
    <t>rocksdb/java/src/test/java/org/rocksdb/MutableDBOptionsTest.java</t>
  </si>
  <si>
    <t>MutableColumnFamilyOptionsTest</t>
  </si>
  <si>
    <t>rocksdb/java/src/test/java/org/rocksdb/MutableColumnFamilyOptionsTest.java</t>
  </si>
  <si>
    <t>MixedOptionsTest</t>
  </si>
  <si>
    <t>rocksdb/java/src/test/java/org/rocksdb/MixedOptionsTest.java</t>
  </si>
  <si>
    <t>MergeTest</t>
  </si>
  <si>
    <t>rocksdb/java/src/test/java/org/rocksdb/MergeTest.java</t>
  </si>
  <si>
    <t>MemoryUtilTest</t>
  </si>
  <si>
    <t>rocksdb/java/src/test/java/org/rocksdb/MemoryUtilTest.java</t>
  </si>
  <si>
    <t>LoggerTest</t>
  </si>
  <si>
    <t>rocksdb/java/src/test/java/org/rocksdb/LoggerTest.java</t>
  </si>
  <si>
    <t>KeyMayExistTest</t>
  </si>
  <si>
    <t>rocksdb/java/src/test/java/org/rocksdb/KeyMayExistTest.java</t>
  </si>
  <si>
    <t>IngestExternalFileOptionsTest</t>
  </si>
  <si>
    <t>rocksdb/java/src/test/java/org/rocksdb/IngestExternalFileOptionsTest.java</t>
  </si>
  <si>
    <t>InfoLogLevelTest</t>
  </si>
  <si>
    <t>rocksdb/java/src/test/java/org/rocksdb/InfoLogLevelTest.java</t>
  </si>
  <si>
    <t>FlushTest</t>
  </si>
  <si>
    <t>rocksdb/java/src/test/java/org/rocksdb/FlushTest.java</t>
  </si>
  <si>
    <t>FlushOptionsTest</t>
  </si>
  <si>
    <t>rocksdb/java/src/test/java/org/rocksdb/FlushOptionsTest.java</t>
  </si>
  <si>
    <t>EnvOptionsTest</t>
  </si>
  <si>
    <t>rocksdb/java/src/test/java/org/rocksdb/EnvOptionsTest.java</t>
  </si>
  <si>
    <t>DefaultEnvTest</t>
  </si>
  <si>
    <t>rocksdb/java/src/test/java/org/rocksdb/DefaultEnvTest.java</t>
  </si>
  <si>
    <t>DBOptionsTest</t>
  </si>
  <si>
    <t>rocksdb/java/src/test/java/org/rocksdb/DBOptionsTest.java</t>
  </si>
  <si>
    <t>CompressionOptionsTest</t>
  </si>
  <si>
    <t>rocksdb/java/src/test/java/org/rocksdb/CompressionOptionsTest.java</t>
  </si>
  <si>
    <t>ComparatorTest</t>
  </si>
  <si>
    <t>rocksdb/java/src/test/java/org/rocksdb/ComparatorTest.java</t>
  </si>
  <si>
    <t>CompactionOptionsUniversalTest</t>
  </si>
  <si>
    <t>rocksdb/java/src/test/java/org/rocksdb/CompactionOptionsUniversalTest.java</t>
  </si>
  <si>
    <t>CompactionOptionsTest</t>
  </si>
  <si>
    <t>rocksdb/java/src/test/java/org/rocksdb/CompactionOptionsTest.java</t>
  </si>
  <si>
    <t>CompactionJobStatsTest</t>
  </si>
  <si>
    <t>rocksdb/java/src/test/java/org/rocksdb/CompactionJobStatsTest.java</t>
  </si>
  <si>
    <t>CompactionJobInfoTest</t>
  </si>
  <si>
    <t>rocksdb/java/src/test/java/org/rocksdb/CompactionJobInfoTest.java</t>
  </si>
  <si>
    <t>rocksdb/java/src/test/java/org/rocksdb/CompactionFilterFactoryTest.java</t>
  </si>
  <si>
    <t>CompactRangeOptionsTest</t>
  </si>
  <si>
    <t>rocksdb/java/src/test/java/org/rocksdb/CompactRangeOptionsTest.java</t>
  </si>
  <si>
    <t>ColumnFamilyTest</t>
  </si>
  <si>
    <t>rocksdb/java/src/test/java/org/rocksdb/ColumnFamilyTest.java</t>
  </si>
  <si>
    <t>ColumnFamilyOptionsTest</t>
  </si>
  <si>
    <t>rocksdb/java/src/test/java/org/rocksdb/ColumnFamilyOptionsTest.java</t>
  </si>
  <si>
    <t>CheckPointTest</t>
  </si>
  <si>
    <t>rocksdb/java/src/test/java/org/rocksdb/CheckPointTest.java</t>
  </si>
  <si>
    <t>BlockBasedTableConfigTest</t>
  </si>
  <si>
    <t>rocksdb/java/src/test/java/org/rocksdb/BlockBasedTableConfigTest.java</t>
  </si>
  <si>
    <t>BackupableDBOptionsTest</t>
  </si>
  <si>
    <t>rocksdb/java/src/test/java/org/rocksdb/BackupableDBOptionsTest.java</t>
  </si>
  <si>
    <t>BackupEngineTest</t>
  </si>
  <si>
    <t>rocksdb/java/src/test/java/org/rocksdb/BackupEngineTest.java</t>
  </si>
  <si>
    <t>AbstractTransactionTest</t>
  </si>
  <si>
    <t>rocksdb/java/src/test/java/org/rocksdb/AbstractTransactionTest.java</t>
  </si>
  <si>
    <t>AbstractComparatorTest</t>
  </si>
  <si>
    <t>rocksdb/java/src/test/java/org/rocksdb/AbstractComparatorTest.java</t>
  </si>
  <si>
    <t>rocksdb/java/src/main/java/org/rocksdb/WriteOptions.java</t>
  </si>
  <si>
    <t>rocksdb/java/src/main/java/org/rocksdb/WriteBatchWithIndex.java</t>
  </si>
  <si>
    <t>rocksdb/java/src/main/java/org/rocksdb/WriteBatch.java</t>
  </si>
  <si>
    <t>TransactionOptions</t>
  </si>
  <si>
    <t>rocksdb/java/src/main/java/org/rocksdb/TransactionOptions.java</t>
  </si>
  <si>
    <t>TransactionDBOptions</t>
  </si>
  <si>
    <t>rocksdb/java/src/main/java/org/rocksdb/TransactionDBOptions.java</t>
  </si>
  <si>
    <t>TransactionDB</t>
  </si>
  <si>
    <t>rocksdb/java/src/main/java/org/rocksdb/TransactionDB.java</t>
  </si>
  <si>
    <t>Transaction</t>
  </si>
  <si>
    <t>rocksdb/java/src/main/java/org/rocksdb/Transaction.java</t>
  </si>
  <si>
    <t>ThreadStatus</t>
  </si>
  <si>
    <t>rocksdb/java/src/main/java/org/rocksdb/ThreadStatus.java</t>
  </si>
  <si>
    <t>rocksdb/java/src/main/java/org/rocksdb/Statistics.java</t>
  </si>
  <si>
    <t>rocksdb/java/src/main/java/org/rocksdb/SstFileWriter.java</t>
  </si>
  <si>
    <t>SstFileManager</t>
  </si>
  <si>
    <t>rocksdb/java/src/main/java/org/rocksdb/SstFileManager.java</t>
  </si>
  <si>
    <t>rocksdb/java/src/main/java/org/rocksdb/RocksDB.java</t>
  </si>
  <si>
    <t>rocksdb/java/src/main/java/org/rocksdb/ReadOptions.java</t>
  </si>
  <si>
    <t>rocksdb/java/src/main/java/org/rocksdb/RateLimiter.java</t>
  </si>
  <si>
    <t>rocksdb/java/src/main/java/org/rocksdb/Options.java</t>
  </si>
  <si>
    <t>OptimisticTransactionDB</t>
  </si>
  <si>
    <t>rocksdb/java/src/main/java/org/rocksdb/OptimisticTransactionDB.java</t>
  </si>
  <si>
    <t>rocksdb/java/src/main/java/org/rocksdb/IngestExternalFileOptions.java</t>
  </si>
  <si>
    <t>rocksdb/java/src/main/java/org/rocksdb/EnvOptions.java</t>
  </si>
  <si>
    <t>rocksdb/java/src/main/java/org/rocksdb/Env.java</t>
  </si>
  <si>
    <t>rocksdb/java/src/main/java/org/rocksdb/DBOptions.java</t>
  </si>
  <si>
    <t>rocksdb/java/src/main/java/org/rocksdb/CompressionOptions.java</t>
  </si>
  <si>
    <t>rocksdb/java/src/main/java/org/rocksdb/CompactionOptionsUniversal.java</t>
  </si>
  <si>
    <t>CompactionOptions</t>
  </si>
  <si>
    <t>rocksdb/java/src/main/java/org/rocksdb/CompactionOptions.java</t>
  </si>
  <si>
    <t>CompactionJobStats</t>
  </si>
  <si>
    <t>rocksdb/java/src/main/java/org/rocksdb/CompactionJobStats.java</t>
  </si>
  <si>
    <t>CompactionJobInfo</t>
  </si>
  <si>
    <t>rocksdb/java/src/main/java/org/rocksdb/CompactionJobInfo.java</t>
  </si>
  <si>
    <t>CompactRangeOptions</t>
  </si>
  <si>
    <t>rocksdb/java/src/main/java/org/rocksdb/CompactRangeOptions.java</t>
  </si>
  <si>
    <t>rocksdb/java/src/main/java/org/rocksdb/ColumnFamilyOptions.java</t>
  </si>
  <si>
    <t>rocksdb/java/src/main/java/org/rocksdb/ColumnFamilyHandle.java</t>
  </si>
  <si>
    <t>rocksdb/java/src/main/java/org/rocksdb/BackupableDBOptions.java</t>
  </si>
  <si>
    <t>rocksdb/java/src/main/java/org/rocksdb/BackupEngine.java</t>
  </si>
  <si>
    <t>AbstractWriteBatch</t>
  </si>
  <si>
    <t>rocksdb/java/src/main/java/org/rocksdb/AbstractWriteBatch.java</t>
  </si>
  <si>
    <t>AbstractSlice</t>
  </si>
  <si>
    <t>rocksdb/java/src/main/java/org/rocksdb/AbstractSlice.java</t>
  </si>
  <si>
    <t>rocksdb/java/src/main/java/org/rocksdb/WBWIRocksIterator.java</t>
  </si>
  <si>
    <t>rocksdb/java/src/main/java/org/rocksdb/VectorMemTableConfig.java</t>
  </si>
  <si>
    <t>rocksdb/java/src/main/java/org/rocksdb/TtlDB.java</t>
  </si>
  <si>
    <t>rocksdb/java/src/main/java/org/rocksdb/TransactionLogIterator.java</t>
  </si>
  <si>
    <t>TimedEnv</t>
  </si>
  <si>
    <t>rocksdb/java/src/main/java/org/rocksdb/TimedEnv.java</t>
  </si>
  <si>
    <t>SstFileReaderIterator</t>
  </si>
  <si>
    <t>rocksdb/java/src/main/java/org/rocksdb/SstFileReaderIterator.java</t>
  </si>
  <si>
    <t>SstFileReader</t>
  </si>
  <si>
    <t>rocksdb/java/src/main/java/org/rocksdb/SstFileReader.java</t>
  </si>
  <si>
    <t>rocksdb/java/src/main/java/org/rocksdb/Snapshot.java</t>
  </si>
  <si>
    <t>rocksdb/java/src/main/java/org/rocksdb/Slice.java</t>
  </si>
  <si>
    <t>rocksdb/java/src/main/java/org/rocksdb/SkipListMemTableConfig.java</t>
  </si>
  <si>
    <t>rocksdb/java/src/main/java/org/rocksdb/RocksMemEnv.java</t>
  </si>
  <si>
    <t>rocksdb/java/src/main/java/org/rocksdb/RocksIterator.java</t>
  </si>
  <si>
    <t>rocksdb/java/src/main/java/org/rocksdb/RocksCallbackObject.java</t>
  </si>
  <si>
    <t>rocksdb/java/src/main/java/org/rocksdb/PlainTableConfig.java</t>
  </si>
  <si>
    <t>OptimisticTransactionOptions</t>
  </si>
  <si>
    <t>rocksdb/java/src/main/java/org/rocksdb/OptimisticTransactionOptions.java</t>
  </si>
  <si>
    <t>NativeComparatorWrapper</t>
  </si>
  <si>
    <t>rocksdb/java/src/main/java/org/rocksdb/NativeComparatorWrapper.java</t>
  </si>
  <si>
    <t>rocksdb/java/src/main/java/org/rocksdb/Logger.java</t>
  </si>
  <si>
    <t>HdfsEnv</t>
  </si>
  <si>
    <t>rocksdb/java/src/main/java/org/rocksdb/HdfsEnv.java</t>
  </si>
  <si>
    <t>rocksdb/java/src/main/java/org/rocksdb/HashSkipListMemTableConfig.java</t>
  </si>
  <si>
    <t>rocksdb/java/src/main/java/org/rocksdb/HashLinkedListMemTableConfig.java</t>
  </si>
  <si>
    <t>rocksdb/java/src/main/java/org/rocksdb/FlushOptions.java</t>
  </si>
  <si>
    <t>rocksdb/java/src/main/java/org/rocksdb/DirectSlice.java</t>
  </si>
  <si>
    <t>rocksdb/java/src/main/java/org/rocksdb/DirectComparator.java</t>
  </si>
  <si>
    <t>rocksdb/java/src/main/java/org/rocksdb/ComparatorOptions.java</t>
  </si>
  <si>
    <t>rocksdb/java/src/main/java/org/rocksdb/Comparator.java</t>
  </si>
  <si>
    <t>rocksdb/java/src/main/java/org/rocksdb/CompactionOptionsFIFO.java</t>
  </si>
  <si>
    <t>rocksdb/java/src/main/java/org/rocksdb/Checkpoint.java</t>
  </si>
  <si>
    <t>rocksdb/java/src/main/java/org/rocksdb/BlockBasedTableConfig.java</t>
  </si>
  <si>
    <t>AbstractWalFilter</t>
  </si>
  <si>
    <t>rocksdb/java/src/main/java/org/rocksdb/AbstractWalFilter.java</t>
  </si>
  <si>
    <t>AbstractTransactionNotifier</t>
  </si>
  <si>
    <t>rocksdb/java/src/main/java/org/rocksdb/AbstractTransactionNotifier.java</t>
  </si>
  <si>
    <t>AbstractTraceWriter</t>
  </si>
  <si>
    <t>rocksdb/java/src/main/java/org/rocksdb/AbstractTraceWriter.java</t>
  </si>
  <si>
    <t>AbstractTableFilter</t>
  </si>
  <si>
    <t>rocksdb/java/src/main/java/org/rocksdb/AbstractTableFilter.java</t>
  </si>
  <si>
    <t>AbstractCompactionFilterFactory</t>
  </si>
  <si>
    <t>rocksdb/java/src/main/java/org/rocksdb/AbstractCompactionFilterFactory.java</t>
  </si>
  <si>
    <t>RocksDBExceptionTest</t>
  </si>
  <si>
    <t>rocksdb/java/src/test/java/org/rocksdb/RocksDBExceptionTest.java</t>
  </si>
  <si>
    <t>Not Securing Libraries</t>
  </si>
  <si>
    <t>rocksdb/java/src/main/java/org/rocksdb/NativeLibraryLoader.java</t>
  </si>
  <si>
    <t>Memory Management Mismatch</t>
  </si>
  <si>
    <t>jk_val</t>
  </si>
  <si>
    <t>txn_multi_get_helper</t>
  </si>
  <si>
    <t>mock_env_test</t>
  </si>
  <si>
    <t>rocksdb/env/mock_env_test.cc</t>
  </si>
  <si>
    <t>jvalue_part</t>
  </si>
  <si>
    <t>txn_write_kv_parts_helper</t>
  </si>
  <si>
    <t>Precision</t>
  </si>
  <si>
    <t>Excessive Interlang comm</t>
  </si>
  <si>
    <t>Not securing Lib</t>
  </si>
  <si>
    <t>Assuming safe return val, hard coding lib, not handeling exceptions, not using relative path</t>
  </si>
  <si>
    <t>Toomuchclustering</t>
  </si>
  <si>
    <t>Toomuchscattering</t>
  </si>
  <si>
    <t>Unused Declaration</t>
  </si>
  <si>
    <t>Unused Parameters</t>
  </si>
  <si>
    <t>MemoryManagementMismatch</t>
  </si>
  <si>
    <t>ByteArrayElements</t>
  </si>
  <si>
    <t>txn_write_k_parts_helper</t>
  </si>
  <si>
    <t>rocksdb/env/transaction.cc</t>
  </si>
  <si>
    <t>IntArrayElements</t>
  </si>
  <si>
    <t>Java_org_rocksdb_ColumnFamilyOptions_setMaxBytesForLevelMultiplierAdditional</t>
  </si>
  <si>
    <t>options.cc</t>
  </si>
  <si>
    <t>StringUTFChars</t>
  </si>
  <si>
    <t>Java_org_rocksdb_TtlDB_openCF</t>
  </si>
  <si>
    <t>ttl.cc</t>
  </si>
  <si>
    <t>Java_org_rocksdb_Options_setMaxBytesForLevelMultiplierAdditional</t>
  </si>
  <si>
    <t>Memory Management</t>
  </si>
  <si>
    <t>CS303</t>
  </si>
  <si>
    <t>CS307</t>
  </si>
  <si>
    <t>CS308</t>
  </si>
  <si>
    <t>CS309</t>
  </si>
  <si>
    <t>CS310</t>
  </si>
  <si>
    <t>CS311</t>
  </si>
  <si>
    <t>CS312</t>
  </si>
  <si>
    <t>CS313</t>
  </si>
  <si>
    <t>CS314</t>
  </si>
  <si>
    <t>CS315</t>
  </si>
  <si>
    <t>CS316</t>
  </si>
  <si>
    <t>CS317</t>
  </si>
  <si>
    <t>CS318</t>
  </si>
  <si>
    <t>CS319</t>
  </si>
  <si>
    <t>CS320</t>
  </si>
  <si>
    <t>CS321</t>
  </si>
  <si>
    <t>CS322</t>
  </si>
  <si>
    <t>CS323</t>
  </si>
  <si>
    <t>CS324</t>
  </si>
  <si>
    <t>CS325</t>
  </si>
  <si>
    <t>CS326</t>
  </si>
  <si>
    <t>CS327</t>
  </si>
  <si>
    <t>CS328</t>
  </si>
  <si>
    <t>CS329</t>
  </si>
  <si>
    <t>CS330</t>
  </si>
  <si>
    <t>CS331</t>
  </si>
  <si>
    <t>CS332</t>
  </si>
  <si>
    <t>CS333</t>
  </si>
  <si>
    <t>CS334</t>
  </si>
  <si>
    <t>CS335</t>
  </si>
  <si>
    <t>CS336</t>
  </si>
  <si>
    <t>CS337</t>
  </si>
  <si>
    <t>CS338</t>
  </si>
  <si>
    <t>CS339</t>
  </si>
  <si>
    <t>CS340</t>
  </si>
  <si>
    <t>CS341</t>
  </si>
  <si>
    <t>CS342</t>
  </si>
  <si>
    <t>CS343</t>
  </si>
  <si>
    <t>CS344</t>
  </si>
  <si>
    <t>CS345</t>
  </si>
  <si>
    <t>CS346</t>
  </si>
  <si>
    <t>CS347</t>
  </si>
  <si>
    <t>CS348</t>
  </si>
  <si>
    <t>CS349</t>
  </si>
  <si>
    <t>CS350</t>
  </si>
  <si>
    <t>CS351</t>
  </si>
  <si>
    <t>CS352</t>
  </si>
  <si>
    <t>CS353</t>
  </si>
  <si>
    <t>CS354</t>
  </si>
  <si>
    <t>CS355</t>
  </si>
  <si>
    <t>CS356</t>
  </si>
  <si>
    <t>CS357</t>
  </si>
  <si>
    <t>CS358</t>
  </si>
  <si>
    <t>CS359</t>
  </si>
  <si>
    <t>CS360</t>
  </si>
  <si>
    <t>CS361</t>
  </si>
  <si>
    <t>CS362</t>
  </si>
  <si>
    <t>CS363</t>
  </si>
  <si>
    <t>CS364</t>
  </si>
  <si>
    <t>CS365</t>
  </si>
  <si>
    <t>CS366</t>
  </si>
  <si>
    <t>CS367</t>
  </si>
  <si>
    <t>CS368</t>
  </si>
  <si>
    <t>CS369</t>
  </si>
  <si>
    <t>CS370</t>
  </si>
  <si>
    <t>CS371</t>
  </si>
  <si>
    <t>CS372</t>
  </si>
  <si>
    <t>CS373</t>
  </si>
  <si>
    <t>CS374</t>
  </si>
  <si>
    <t>CS375</t>
  </si>
  <si>
    <t>CS376</t>
  </si>
  <si>
    <t>CS377</t>
  </si>
  <si>
    <t>CS378</t>
  </si>
  <si>
    <t>CS379</t>
  </si>
  <si>
    <t>CS380</t>
  </si>
  <si>
    <t>CS381</t>
  </si>
  <si>
    <t>CS382</t>
  </si>
  <si>
    <t>CS383</t>
  </si>
  <si>
    <t>CS384</t>
  </si>
  <si>
    <t>CS385</t>
  </si>
  <si>
    <t>CS386</t>
  </si>
  <si>
    <t>CS387</t>
  </si>
  <si>
    <t>CS388</t>
  </si>
  <si>
    <t>CS389</t>
  </si>
  <si>
    <t>CS390</t>
  </si>
  <si>
    <t>CS391</t>
  </si>
  <si>
    <t>CS392</t>
  </si>
  <si>
    <t>CS393</t>
  </si>
  <si>
    <t>CS394</t>
  </si>
  <si>
    <t>CS395</t>
  </si>
  <si>
    <t>CS396</t>
  </si>
  <si>
    <t>CS397</t>
  </si>
  <si>
    <t>CS398</t>
  </si>
  <si>
    <t>CS399</t>
  </si>
  <si>
    <t>CS400</t>
  </si>
  <si>
    <t>CS401</t>
  </si>
  <si>
    <t>CS402</t>
  </si>
  <si>
    <t>CS403</t>
  </si>
  <si>
    <t>CS404</t>
  </si>
  <si>
    <t>CS405</t>
  </si>
  <si>
    <t>CS406</t>
  </si>
  <si>
    <t>CS407</t>
  </si>
  <si>
    <t>CS408</t>
  </si>
  <si>
    <t>CS409</t>
  </si>
  <si>
    <t>CS410</t>
  </si>
  <si>
    <t>CS411</t>
  </si>
  <si>
    <t>CS412</t>
  </si>
  <si>
    <t>CS413</t>
  </si>
  <si>
    <t>CS414</t>
  </si>
  <si>
    <t>CS415</t>
  </si>
  <si>
    <t>CS416</t>
  </si>
  <si>
    <t>CS417</t>
  </si>
  <si>
    <t>CS418</t>
  </si>
  <si>
    <t>CS419</t>
  </si>
  <si>
    <t>CS420</t>
  </si>
  <si>
    <t>CS421</t>
  </si>
  <si>
    <t>CS422</t>
  </si>
  <si>
    <t>CS423</t>
  </si>
  <si>
    <t>CS424</t>
  </si>
  <si>
    <t>CS425</t>
  </si>
  <si>
    <t>CS426</t>
  </si>
  <si>
    <t>CS427</t>
  </si>
  <si>
    <t>CS428</t>
  </si>
  <si>
    <t>CS429</t>
  </si>
  <si>
    <t>CS430</t>
  </si>
  <si>
    <t>CS431</t>
  </si>
  <si>
    <t>CS432</t>
  </si>
  <si>
    <t>CS433</t>
  </si>
  <si>
    <t>CS434</t>
  </si>
  <si>
    <t>CS435</t>
  </si>
  <si>
    <t>CS436</t>
  </si>
  <si>
    <t>CS437</t>
  </si>
  <si>
    <t>CS438</t>
  </si>
  <si>
    <t>CS439</t>
  </si>
  <si>
    <t>CS440</t>
  </si>
  <si>
    <t>CS441</t>
  </si>
  <si>
    <t>CS442</t>
  </si>
  <si>
    <t>CS443</t>
  </si>
  <si>
    <t>CS444</t>
  </si>
  <si>
    <t>CS445</t>
  </si>
  <si>
    <t>CS446</t>
  </si>
  <si>
    <t>CS447</t>
  </si>
  <si>
    <t>CS448</t>
  </si>
  <si>
    <t>CS449</t>
  </si>
  <si>
    <t>CS450</t>
  </si>
  <si>
    <t>CS451</t>
  </si>
  <si>
    <t>CS452</t>
  </si>
  <si>
    <t>CS453</t>
  </si>
  <si>
    <t>CS454</t>
  </si>
  <si>
    <t>CS455</t>
  </si>
  <si>
    <t>CS456</t>
  </si>
  <si>
    <t>CS457</t>
  </si>
  <si>
    <t>CS458</t>
  </si>
  <si>
    <t>CS459</t>
  </si>
  <si>
    <t>CS460</t>
  </si>
  <si>
    <t>CS461</t>
  </si>
  <si>
    <t>CS462</t>
  </si>
  <si>
    <t>CS463</t>
  </si>
  <si>
    <t>CS464</t>
  </si>
  <si>
    <t>CS465</t>
  </si>
  <si>
    <t>CS466</t>
  </si>
  <si>
    <t>CS467</t>
  </si>
  <si>
    <t>CS468</t>
  </si>
  <si>
    <t>CS469</t>
  </si>
  <si>
    <t>CS470</t>
  </si>
  <si>
    <t>CS471</t>
  </si>
  <si>
    <t>CS472</t>
  </si>
  <si>
    <t>CS473</t>
  </si>
  <si>
    <t>CS474</t>
  </si>
  <si>
    <t>CS475</t>
  </si>
  <si>
    <t>CS476</t>
  </si>
  <si>
    <t>CS477</t>
  </si>
  <si>
    <t>CS478</t>
  </si>
  <si>
    <t>CS479</t>
  </si>
  <si>
    <t>CS480</t>
  </si>
  <si>
    <t>CS481</t>
  </si>
  <si>
    <t>CS482</t>
  </si>
  <si>
    <t>CS483</t>
  </si>
  <si>
    <t>CS484</t>
  </si>
  <si>
    <t>CS485</t>
  </si>
  <si>
    <t>CS486</t>
  </si>
  <si>
    <t>CS487</t>
  </si>
  <si>
    <t>CS488</t>
  </si>
  <si>
    <t>CS489</t>
  </si>
  <si>
    <t>CS490</t>
  </si>
  <si>
    <t>CS491</t>
  </si>
  <si>
    <t>CS492</t>
  </si>
  <si>
    <t>CS493</t>
  </si>
  <si>
    <t>CS494</t>
  </si>
  <si>
    <t>CS495</t>
  </si>
  <si>
    <t>CS496</t>
  </si>
  <si>
    <t>CS497</t>
  </si>
  <si>
    <t>CS498</t>
  </si>
  <si>
    <t>CS499</t>
  </si>
  <si>
    <t>CS500</t>
  </si>
  <si>
    <t>CS501</t>
  </si>
  <si>
    <t>CS502</t>
  </si>
  <si>
    <t>CS503</t>
  </si>
  <si>
    <t>CS504</t>
  </si>
  <si>
    <t>CS505</t>
  </si>
  <si>
    <t>CS506</t>
  </si>
  <si>
    <t>CS507</t>
  </si>
  <si>
    <t>CS508</t>
  </si>
  <si>
    <t>CS509</t>
  </si>
  <si>
    <t>CS510</t>
  </si>
  <si>
    <t>CS511</t>
  </si>
  <si>
    <t>CS512</t>
  </si>
  <si>
    <t>CS513</t>
  </si>
  <si>
    <t>CS514</t>
  </si>
  <si>
    <t>CS515</t>
  </si>
  <si>
    <t>CS516</t>
  </si>
  <si>
    <t>CS517</t>
  </si>
  <si>
    <t>CS518</t>
  </si>
  <si>
    <t>CS519</t>
  </si>
  <si>
    <t>CS520</t>
  </si>
  <si>
    <t>CS521</t>
  </si>
  <si>
    <t>CS522</t>
  </si>
  <si>
    <t>CS523</t>
  </si>
  <si>
    <t>CS524</t>
  </si>
  <si>
    <t>CS525</t>
  </si>
  <si>
    <t>CS526</t>
  </si>
  <si>
    <t>CS527</t>
  </si>
  <si>
    <t>CS528</t>
  </si>
  <si>
    <t>CS529</t>
  </si>
  <si>
    <t>CS530</t>
  </si>
  <si>
    <t>CS531</t>
  </si>
  <si>
    <t>CS532</t>
  </si>
  <si>
    <t>CS533</t>
  </si>
  <si>
    <t>CS534</t>
  </si>
  <si>
    <t>CS535</t>
  </si>
  <si>
    <t>CS536</t>
  </si>
  <si>
    <t>CS537</t>
  </si>
  <si>
    <t>CS538</t>
  </si>
  <si>
    <t>CS539</t>
  </si>
  <si>
    <t>CS540</t>
  </si>
  <si>
    <t>CS541</t>
  </si>
  <si>
    <t>CS542</t>
  </si>
  <si>
    <t>CS543</t>
  </si>
  <si>
    <t>CS544</t>
  </si>
  <si>
    <t>CS545</t>
  </si>
  <si>
    <t>CS546</t>
  </si>
  <si>
    <t>CS547</t>
  </si>
  <si>
    <t>CS548</t>
  </si>
  <si>
    <t>CS549</t>
  </si>
  <si>
    <t>CS550</t>
  </si>
  <si>
    <t>CS551</t>
  </si>
  <si>
    <t>CS552</t>
  </si>
  <si>
    <t>CS553</t>
  </si>
  <si>
    <t>CS554</t>
  </si>
  <si>
    <t>CS555</t>
  </si>
  <si>
    <t>CS556</t>
  </si>
  <si>
    <t>CS557</t>
  </si>
  <si>
    <t>CS558</t>
  </si>
  <si>
    <t>CS559</t>
  </si>
  <si>
    <t>CS560</t>
  </si>
  <si>
    <t>CS561</t>
  </si>
  <si>
    <t>CS562</t>
  </si>
  <si>
    <t>CS563</t>
  </si>
  <si>
    <t>CS564</t>
  </si>
  <si>
    <t>CS565</t>
  </si>
  <si>
    <t>CS566</t>
  </si>
  <si>
    <t>CS567</t>
  </si>
  <si>
    <t>CS568</t>
  </si>
  <si>
    <t>CS569</t>
  </si>
  <si>
    <t>CS570</t>
  </si>
  <si>
    <t>CS571</t>
  </si>
  <si>
    <t>CS572</t>
  </si>
  <si>
    <t>CS573</t>
  </si>
  <si>
    <t>CS574</t>
  </si>
  <si>
    <t>CS575</t>
  </si>
  <si>
    <t>CS576</t>
  </si>
  <si>
    <t>CS577</t>
  </si>
  <si>
    <t>CS578</t>
  </si>
  <si>
    <t>CS579</t>
  </si>
  <si>
    <t>CS580</t>
  </si>
  <si>
    <t>CS581</t>
  </si>
  <si>
    <t>CS582</t>
  </si>
  <si>
    <t>CS583</t>
  </si>
  <si>
    <t>CS584</t>
  </si>
  <si>
    <t>CS585</t>
  </si>
  <si>
    <t>CS586</t>
  </si>
  <si>
    <t>CS587</t>
  </si>
  <si>
    <t>CS588</t>
  </si>
  <si>
    <t>CS589</t>
  </si>
  <si>
    <t>CS590</t>
  </si>
  <si>
    <t>CS591</t>
  </si>
  <si>
    <t>CS592</t>
  </si>
  <si>
    <t>CS593</t>
  </si>
  <si>
    <t>CS594</t>
  </si>
  <si>
    <t>CS595</t>
  </si>
  <si>
    <t>CS596</t>
  </si>
  <si>
    <t>CS597</t>
  </si>
  <si>
    <t>CS598</t>
  </si>
  <si>
    <t>CS599</t>
  </si>
  <si>
    <t>CS600</t>
  </si>
  <si>
    <t>CS601</t>
  </si>
  <si>
    <t>CS602</t>
  </si>
  <si>
    <t>CS603</t>
  </si>
  <si>
    <t>CS604</t>
  </si>
  <si>
    <t>CS605</t>
  </si>
  <si>
    <t>CS606</t>
  </si>
  <si>
    <t>CS607</t>
  </si>
  <si>
    <t>CS608</t>
  </si>
  <si>
    <t>CS609</t>
  </si>
  <si>
    <t>CS610</t>
  </si>
  <si>
    <t>CS611</t>
  </si>
  <si>
    <t>CS612</t>
  </si>
  <si>
    <t>CS613</t>
  </si>
  <si>
    <t>CS614</t>
  </si>
  <si>
    <t>CS615</t>
  </si>
  <si>
    <t>CS616</t>
  </si>
  <si>
    <t>CS617</t>
  </si>
  <si>
    <t>CS618</t>
  </si>
  <si>
    <t>CS619</t>
  </si>
  <si>
    <t>CS620</t>
  </si>
  <si>
    <t>CS621</t>
  </si>
  <si>
    <t>CS622</t>
  </si>
  <si>
    <t>CS623</t>
  </si>
  <si>
    <t>CS624</t>
  </si>
  <si>
    <t>CS625</t>
  </si>
  <si>
    <t>CS626</t>
  </si>
  <si>
    <t>CS627</t>
  </si>
  <si>
    <t>CS628</t>
  </si>
  <si>
    <t>CS629</t>
  </si>
  <si>
    <t>CS630</t>
  </si>
  <si>
    <t>CS631</t>
  </si>
  <si>
    <t>CS632</t>
  </si>
  <si>
    <t>CS633</t>
  </si>
  <si>
    <t>CS634</t>
  </si>
  <si>
    <t>CS635</t>
  </si>
  <si>
    <t>CS636</t>
  </si>
  <si>
    <t>CS637</t>
  </si>
  <si>
    <t>CS638</t>
  </si>
  <si>
    <t>CS639</t>
  </si>
  <si>
    <t>CS640</t>
  </si>
  <si>
    <t>CS641</t>
  </si>
  <si>
    <t>CS642</t>
  </si>
  <si>
    <t>CS643</t>
  </si>
  <si>
    <t>CS644</t>
  </si>
  <si>
    <t>CS645</t>
  </si>
  <si>
    <t>CS646</t>
  </si>
  <si>
    <t>CS647</t>
  </si>
  <si>
    <t>CS648</t>
  </si>
  <si>
    <t>CS649</t>
  </si>
  <si>
    <t>CS650</t>
  </si>
  <si>
    <t>CS651</t>
  </si>
  <si>
    <t>CS652</t>
  </si>
  <si>
    <t>CS653</t>
  </si>
  <si>
    <t>CS654</t>
  </si>
  <si>
    <t>CS655</t>
  </si>
  <si>
    <t>CS656</t>
  </si>
  <si>
    <t>CS657</t>
  </si>
  <si>
    <t>CS658</t>
  </si>
  <si>
    <t>CS659</t>
  </si>
  <si>
    <t>CS660</t>
  </si>
  <si>
    <t>CS661</t>
  </si>
  <si>
    <t>CS662</t>
  </si>
  <si>
    <t>CS663</t>
  </si>
  <si>
    <t>CS664</t>
  </si>
  <si>
    <t>CS665</t>
  </si>
  <si>
    <t>CS666</t>
  </si>
  <si>
    <t>CS667</t>
  </si>
  <si>
    <t>CS668</t>
  </si>
  <si>
    <t>CS669</t>
  </si>
  <si>
    <t>CS670</t>
  </si>
  <si>
    <t>CS671</t>
  </si>
  <si>
    <t>CS672</t>
  </si>
  <si>
    <t>CS673</t>
  </si>
  <si>
    <t>CS674</t>
  </si>
  <si>
    <t>CS675</t>
  </si>
  <si>
    <t>CS676</t>
  </si>
  <si>
    <t>CS677</t>
  </si>
  <si>
    <t>CS678</t>
  </si>
  <si>
    <t>CS679</t>
  </si>
  <si>
    <t>CS680</t>
  </si>
  <si>
    <t>CS681</t>
  </si>
  <si>
    <t>CS682</t>
  </si>
  <si>
    <t>CS683</t>
  </si>
  <si>
    <t>CS684</t>
  </si>
  <si>
    <t>CS685</t>
  </si>
  <si>
    <t>CS686</t>
  </si>
  <si>
    <t>CS687</t>
  </si>
  <si>
    <t>CS688</t>
  </si>
  <si>
    <t>CS689</t>
  </si>
  <si>
    <t>CS690</t>
  </si>
  <si>
    <t>CS691</t>
  </si>
  <si>
    <t>CS692</t>
  </si>
  <si>
    <t>CS693</t>
  </si>
  <si>
    <t>CS694</t>
  </si>
  <si>
    <t>CS695</t>
  </si>
  <si>
    <t>CS696</t>
  </si>
  <si>
    <t>CS697</t>
  </si>
  <si>
    <t>CS698</t>
  </si>
  <si>
    <t>CS699</t>
  </si>
  <si>
    <t>CS700</t>
  </si>
  <si>
    <t>CS701</t>
  </si>
  <si>
    <t>CS702</t>
  </si>
  <si>
    <t>CS703</t>
  </si>
  <si>
    <t>CS704</t>
  </si>
  <si>
    <t>CS705</t>
  </si>
  <si>
    <t>CS706</t>
  </si>
  <si>
    <t>CS707</t>
  </si>
  <si>
    <t>CS708</t>
  </si>
  <si>
    <t>CS709</t>
  </si>
  <si>
    <t>CS710</t>
  </si>
  <si>
    <t>CS711</t>
  </si>
  <si>
    <t>CS712</t>
  </si>
  <si>
    <t>CS713</t>
  </si>
  <si>
    <t>CS714</t>
  </si>
  <si>
    <t>CS715</t>
  </si>
  <si>
    <t>CS716</t>
  </si>
  <si>
    <t>CS717</t>
  </si>
  <si>
    <t>CS718</t>
  </si>
  <si>
    <t>CS719</t>
  </si>
  <si>
    <t>CS720</t>
  </si>
  <si>
    <t>CS721</t>
  </si>
  <si>
    <t>CS722</t>
  </si>
  <si>
    <t>CS723</t>
  </si>
  <si>
    <t>CS724</t>
  </si>
  <si>
    <t>CS725</t>
  </si>
  <si>
    <t>CS726</t>
  </si>
  <si>
    <t>CS727</t>
  </si>
  <si>
    <t>CS728</t>
  </si>
  <si>
    <t>CS729</t>
  </si>
  <si>
    <t>CS730</t>
  </si>
  <si>
    <t>CS731</t>
  </si>
  <si>
    <t>CS732</t>
  </si>
  <si>
    <t>CS733</t>
  </si>
  <si>
    <t>CS734</t>
  </si>
  <si>
    <t>CS735</t>
  </si>
  <si>
    <t>CS736</t>
  </si>
  <si>
    <t>CS737</t>
  </si>
  <si>
    <t>CS738</t>
  </si>
  <si>
    <t>CS739</t>
  </si>
  <si>
    <t>CS740</t>
  </si>
  <si>
    <t>CS741</t>
  </si>
  <si>
    <t>CS742</t>
  </si>
  <si>
    <t>CS743</t>
  </si>
  <si>
    <t>CS744</t>
  </si>
  <si>
    <t>CS745</t>
  </si>
  <si>
    <t>CS746</t>
  </si>
  <si>
    <t>CS747</t>
  </si>
  <si>
    <t>CS748</t>
  </si>
  <si>
    <t>CS749</t>
  </si>
  <si>
    <t>CS750</t>
  </si>
  <si>
    <t>CS751</t>
  </si>
  <si>
    <t>CS752</t>
  </si>
  <si>
    <t>CS753</t>
  </si>
  <si>
    <t>CS754</t>
  </si>
  <si>
    <t>CS755</t>
  </si>
  <si>
    <t>CS756</t>
  </si>
  <si>
    <t>CS757</t>
  </si>
  <si>
    <t>CS758</t>
  </si>
  <si>
    <t>CS759</t>
  </si>
  <si>
    <t>CS760</t>
  </si>
  <si>
    <t>CS761</t>
  </si>
  <si>
    <t>CS762</t>
  </si>
  <si>
    <t>CS763</t>
  </si>
  <si>
    <t>CS764</t>
  </si>
  <si>
    <t>CS765</t>
  </si>
  <si>
    <t>CS766</t>
  </si>
  <si>
    <t>CS767</t>
  </si>
  <si>
    <t>CS768</t>
  </si>
  <si>
    <t>CS769</t>
  </si>
  <si>
    <t>CS770</t>
  </si>
  <si>
    <t>CS771</t>
  </si>
  <si>
    <t>CS772</t>
  </si>
  <si>
    <t>CS773</t>
  </si>
  <si>
    <t>CS774</t>
  </si>
  <si>
    <t>CS775</t>
  </si>
  <si>
    <t>CS776</t>
  </si>
  <si>
    <t>CS777</t>
  </si>
  <si>
    <t>CS778</t>
  </si>
  <si>
    <t>CS779</t>
  </si>
  <si>
    <t>CS780</t>
  </si>
  <si>
    <t>CS781</t>
  </si>
  <si>
    <t>CS782</t>
  </si>
  <si>
    <t>CS783</t>
  </si>
  <si>
    <t>CS784</t>
  </si>
  <si>
    <t>CS785</t>
  </si>
  <si>
    <t>CS786</t>
  </si>
  <si>
    <t>CS787</t>
  </si>
  <si>
    <t>CS788</t>
  </si>
  <si>
    <t>CS789</t>
  </si>
  <si>
    <t>CS790</t>
  </si>
  <si>
    <t>CS791</t>
  </si>
  <si>
    <t>CS792</t>
  </si>
  <si>
    <t>CS793</t>
  </si>
  <si>
    <t>CS794</t>
  </si>
  <si>
    <t>CS795</t>
  </si>
  <si>
    <t>CS796</t>
  </si>
  <si>
    <t>CS797</t>
  </si>
  <si>
    <t>CS798</t>
  </si>
  <si>
    <t>CS799</t>
  </si>
  <si>
    <t>CS800</t>
  </si>
  <si>
    <t>CS801</t>
  </si>
  <si>
    <t>CS802</t>
  </si>
  <si>
    <t>CS803</t>
  </si>
  <si>
    <t>CS804</t>
  </si>
  <si>
    <t>CS805</t>
  </si>
  <si>
    <t>CS806</t>
  </si>
  <si>
    <t>CS807</t>
  </si>
  <si>
    <t>CS808</t>
  </si>
  <si>
    <t>CS809</t>
  </si>
  <si>
    <t>CS810</t>
  </si>
  <si>
    <t>CS811</t>
  </si>
  <si>
    <t>CS812</t>
  </si>
  <si>
    <t>CS813</t>
  </si>
  <si>
    <t>CS814</t>
  </si>
  <si>
    <t>CS815</t>
  </si>
  <si>
    <t>CS816</t>
  </si>
  <si>
    <t>CS817</t>
  </si>
  <si>
    <t>CS818</t>
  </si>
  <si>
    <t>CS819</t>
  </si>
  <si>
    <t>CS820</t>
  </si>
  <si>
    <t>CS821</t>
  </si>
  <si>
    <t>CS822</t>
  </si>
  <si>
    <t>CS823</t>
  </si>
  <si>
    <t>CS824</t>
  </si>
  <si>
    <t>CS825</t>
  </si>
  <si>
    <t>CS826</t>
  </si>
  <si>
    <t>CS827</t>
  </si>
  <si>
    <t>CS828</t>
  </si>
  <si>
    <t>CS829</t>
  </si>
  <si>
    <t>CS830</t>
  </si>
  <si>
    <t>CS831</t>
  </si>
  <si>
    <t>CS832</t>
  </si>
  <si>
    <t>CS833</t>
  </si>
  <si>
    <t>CS834</t>
  </si>
  <si>
    <t>CS835</t>
  </si>
  <si>
    <t>CS836</t>
  </si>
  <si>
    <t>CS837</t>
  </si>
  <si>
    <t>CS838</t>
  </si>
  <si>
    <t>CS839</t>
  </si>
  <si>
    <t>CS840</t>
  </si>
  <si>
    <t>CS841</t>
  </si>
  <si>
    <t>CS842</t>
  </si>
  <si>
    <t>CS843</t>
  </si>
  <si>
    <t>CS844</t>
  </si>
  <si>
    <t>CS845</t>
  </si>
  <si>
    <t>CS846</t>
  </si>
  <si>
    <t>CS847</t>
  </si>
  <si>
    <t>CS848</t>
  </si>
  <si>
    <t>CS849</t>
  </si>
  <si>
    <t>CS850</t>
  </si>
  <si>
    <t>CS851</t>
  </si>
  <si>
    <t>CS852</t>
  </si>
  <si>
    <t>CS853</t>
  </si>
  <si>
    <t>CS854</t>
  </si>
  <si>
    <t>CS855</t>
  </si>
  <si>
    <t>CS856</t>
  </si>
  <si>
    <t>CS857</t>
  </si>
  <si>
    <t>CS858</t>
  </si>
  <si>
    <t>CS859</t>
  </si>
  <si>
    <t>CS860</t>
  </si>
  <si>
    <t>CS861</t>
  </si>
  <si>
    <t>CS862</t>
  </si>
  <si>
    <t>CS863</t>
  </si>
  <si>
    <t>CS864</t>
  </si>
  <si>
    <t>CS865</t>
  </si>
  <si>
    <t>CS866</t>
  </si>
  <si>
    <t>CS867</t>
  </si>
  <si>
    <t>CS868</t>
  </si>
  <si>
    <t>CS869</t>
  </si>
  <si>
    <t>CS870</t>
  </si>
  <si>
    <t>CS871</t>
  </si>
  <si>
    <t>CS872</t>
  </si>
  <si>
    <t>CS873</t>
  </si>
  <si>
    <t>CS874</t>
  </si>
  <si>
    <t>CS875</t>
  </si>
  <si>
    <t>CS876</t>
  </si>
  <si>
    <t>CS877</t>
  </si>
  <si>
    <t>CS878</t>
  </si>
  <si>
    <t>CS879</t>
  </si>
  <si>
    <t>CS880</t>
  </si>
  <si>
    <t>CS881</t>
  </si>
  <si>
    <t>CS882</t>
  </si>
  <si>
    <t>CS883</t>
  </si>
  <si>
    <t>CS884</t>
  </si>
  <si>
    <t>CS885</t>
  </si>
  <si>
    <t>CS886</t>
  </si>
  <si>
    <t>CS887</t>
  </si>
  <si>
    <t>CS888</t>
  </si>
  <si>
    <t>CS889</t>
  </si>
  <si>
    <t>CS890</t>
  </si>
  <si>
    <t>CS891</t>
  </si>
  <si>
    <t>CS892</t>
  </si>
  <si>
    <t>CS893</t>
  </si>
  <si>
    <t>CS894</t>
  </si>
  <si>
    <t>CS895</t>
  </si>
  <si>
    <t>CS896</t>
  </si>
  <si>
    <t>CS897</t>
  </si>
  <si>
    <t>CS898</t>
  </si>
  <si>
    <t>CS899</t>
  </si>
  <si>
    <t>CS900</t>
  </si>
  <si>
    <t>CS901</t>
  </si>
  <si>
    <t>CS902</t>
  </si>
  <si>
    <t>CS903</t>
  </si>
  <si>
    <t>CS904</t>
  </si>
  <si>
    <t>CS905</t>
  </si>
  <si>
    <t>CS906</t>
  </si>
  <si>
    <t>CS907</t>
  </si>
  <si>
    <t>CS908</t>
  </si>
  <si>
    <t>CS909</t>
  </si>
  <si>
    <t>CS910</t>
  </si>
  <si>
    <t>CS911</t>
  </si>
  <si>
    <t>CS912</t>
  </si>
  <si>
    <t>CS913</t>
  </si>
  <si>
    <t>CS914</t>
  </si>
  <si>
    <t>CS915</t>
  </si>
  <si>
    <t>CS916</t>
  </si>
  <si>
    <t>CS917</t>
  </si>
  <si>
    <t>CS918</t>
  </si>
  <si>
    <t>CS919</t>
  </si>
  <si>
    <t>CS920</t>
  </si>
  <si>
    <t>CS921</t>
  </si>
  <si>
    <t>CS922</t>
  </si>
  <si>
    <t>CS923</t>
  </si>
  <si>
    <t>CS924</t>
  </si>
  <si>
    <t>CS925</t>
  </si>
  <si>
    <t>CS926</t>
  </si>
  <si>
    <t>CS927</t>
  </si>
  <si>
    <t>CS928</t>
  </si>
  <si>
    <t>CS929</t>
  </si>
  <si>
    <t>CS930</t>
  </si>
  <si>
    <t>CS931</t>
  </si>
  <si>
    <t>CS932</t>
  </si>
  <si>
    <t>CS933</t>
  </si>
  <si>
    <t>CS934</t>
  </si>
  <si>
    <t>CS935</t>
  </si>
  <si>
    <t>CS936</t>
  </si>
  <si>
    <t>CS937</t>
  </si>
  <si>
    <t>CS938</t>
  </si>
  <si>
    <t>CS939</t>
  </si>
  <si>
    <t>CS940</t>
  </si>
  <si>
    <t>CS941</t>
  </si>
  <si>
    <t>CS942</t>
  </si>
  <si>
    <t>CS943</t>
  </si>
  <si>
    <t>CS944</t>
  </si>
  <si>
    <t>CS945</t>
  </si>
  <si>
    <t>CS946</t>
  </si>
  <si>
    <t>CS947</t>
  </si>
  <si>
    <t>CS948</t>
  </si>
  <si>
    <t>CS949</t>
  </si>
  <si>
    <t>CS950</t>
  </si>
  <si>
    <t>CS951</t>
  </si>
  <si>
    <t>CS952</t>
  </si>
  <si>
    <t>CS953</t>
  </si>
  <si>
    <t>CS954</t>
  </si>
  <si>
    <t>CS955</t>
  </si>
  <si>
    <t>CS956</t>
  </si>
  <si>
    <t>CS957</t>
  </si>
  <si>
    <t>CS958</t>
  </si>
  <si>
    <t>CS959</t>
  </si>
  <si>
    <t>CS960</t>
  </si>
  <si>
    <t>CS961</t>
  </si>
  <si>
    <t>CS962</t>
  </si>
  <si>
    <t>CS963</t>
  </si>
  <si>
    <t>CS964</t>
  </si>
  <si>
    <t>CS965</t>
  </si>
  <si>
    <t>CS966</t>
  </si>
  <si>
    <t>CS967</t>
  </si>
  <si>
    <t>CS968</t>
  </si>
  <si>
    <t>CS969</t>
  </si>
  <si>
    <t>CS970</t>
  </si>
  <si>
    <t>CS971</t>
  </si>
  <si>
    <t>CS972</t>
  </si>
  <si>
    <t>CS973</t>
  </si>
  <si>
    <t>CS974</t>
  </si>
  <si>
    <t>CS975</t>
  </si>
  <si>
    <t>CS976</t>
  </si>
  <si>
    <t>CS977</t>
  </si>
  <si>
    <t>CS978</t>
  </si>
  <si>
    <t>CS979</t>
  </si>
  <si>
    <t>CS980</t>
  </si>
  <si>
    <t>CS981</t>
  </si>
  <si>
    <t>CS982</t>
  </si>
  <si>
    <t>CS983</t>
  </si>
  <si>
    <t>CS984</t>
  </si>
  <si>
    <t>CS985</t>
  </si>
  <si>
    <t>CS986</t>
  </si>
  <si>
    <t>CS987</t>
  </si>
  <si>
    <t>CS988</t>
  </si>
  <si>
    <t>CS989</t>
  </si>
  <si>
    <t>CS990</t>
  </si>
  <si>
    <t>CS991</t>
  </si>
  <si>
    <t>CS992</t>
  </si>
  <si>
    <t>CS993</t>
  </si>
  <si>
    <t>CS994</t>
  </si>
  <si>
    <t>CS995</t>
  </si>
  <si>
    <t>CS996</t>
  </si>
  <si>
    <t>CS997</t>
  </si>
  <si>
    <t>CS998</t>
  </si>
  <si>
    <t>CS999</t>
  </si>
  <si>
    <t>CS1000</t>
  </si>
  <si>
    <t>CS1001</t>
  </si>
  <si>
    <t>CS1002</t>
  </si>
  <si>
    <t>CS1003</t>
  </si>
  <si>
    <t>CS1004</t>
  </si>
  <si>
    <t>CS1005</t>
  </si>
  <si>
    <t>CS1006</t>
  </si>
  <si>
    <t>CS1007</t>
  </si>
  <si>
    <t>CS1008</t>
  </si>
  <si>
    <t>CS1009</t>
  </si>
  <si>
    <t>CS1010</t>
  </si>
  <si>
    <t>CS1011</t>
  </si>
  <si>
    <t>CS1012</t>
  </si>
  <si>
    <t>CS1013</t>
  </si>
  <si>
    <t>CS1014</t>
  </si>
  <si>
    <t>CS1015</t>
  </si>
  <si>
    <t>CS1016</t>
  </si>
  <si>
    <t>CS1017</t>
  </si>
  <si>
    <t>CS1018</t>
  </si>
  <si>
    <t>CS1019</t>
  </si>
  <si>
    <t>CS1020</t>
  </si>
  <si>
    <t>CS1021</t>
  </si>
  <si>
    <t>CS1022</t>
  </si>
  <si>
    <t>CS1023</t>
  </si>
  <si>
    <t>CS1024</t>
  </si>
  <si>
    <t>CS1025</t>
  </si>
  <si>
    <t>CS1026</t>
  </si>
  <si>
    <t>CS1027</t>
  </si>
  <si>
    <t>CS1028</t>
  </si>
  <si>
    <t>CS1029</t>
  </si>
  <si>
    <t>CS1030</t>
  </si>
  <si>
    <t>CS1031</t>
  </si>
  <si>
    <t>CS1032</t>
  </si>
  <si>
    <t>CS1033</t>
  </si>
  <si>
    <t>CS1034</t>
  </si>
  <si>
    <t>CS1035</t>
  </si>
  <si>
    <t>CS1036</t>
  </si>
  <si>
    <t>CS1037</t>
  </si>
  <si>
    <t>CS1038</t>
  </si>
  <si>
    <t>CS1039</t>
  </si>
  <si>
    <t>CS1040</t>
  </si>
  <si>
    <t>CS1041</t>
  </si>
  <si>
    <t>CS1042</t>
  </si>
  <si>
    <t>CS1043</t>
  </si>
  <si>
    <t>CS1044</t>
  </si>
  <si>
    <t>CS1045</t>
  </si>
  <si>
    <t>CS1046</t>
  </si>
  <si>
    <t>CS1047</t>
  </si>
  <si>
    <t>CS1048</t>
  </si>
  <si>
    <t>CS1049</t>
  </si>
  <si>
    <t>CS1050</t>
  </si>
  <si>
    <t>CS1051</t>
  </si>
  <si>
    <t>CS1052</t>
  </si>
  <si>
    <t>CS1053</t>
  </si>
  <si>
    <t>CS1054</t>
  </si>
  <si>
    <t>CS1055</t>
  </si>
  <si>
    <t>CS1056</t>
  </si>
  <si>
    <t>CS1057</t>
  </si>
  <si>
    <t>CS1058</t>
  </si>
  <si>
    <t>CS1059</t>
  </si>
  <si>
    <t>CS1060</t>
  </si>
  <si>
    <t>CS1061</t>
  </si>
  <si>
    <t>CS1062</t>
  </si>
  <si>
    <t>CS1063</t>
  </si>
  <si>
    <t>CS1064</t>
  </si>
  <si>
    <t>CS1065</t>
  </si>
  <si>
    <t>CS1066</t>
  </si>
  <si>
    <t>CS1067</t>
  </si>
  <si>
    <t>CS1068</t>
  </si>
  <si>
    <t>CS1069</t>
  </si>
  <si>
    <t>CS1070</t>
  </si>
  <si>
    <t>CS1071</t>
  </si>
  <si>
    <t>CS1072</t>
  </si>
  <si>
    <t>CS1073</t>
  </si>
  <si>
    <t>CS1074</t>
  </si>
  <si>
    <t>CS1075</t>
  </si>
  <si>
    <t>CS1076</t>
  </si>
  <si>
    <t>CS1077</t>
  </si>
  <si>
    <t>CS1078</t>
  </si>
  <si>
    <t>CS1079</t>
  </si>
  <si>
    <t>CS1080</t>
  </si>
  <si>
    <t>CS1081</t>
  </si>
  <si>
    <t>CS1082</t>
  </si>
  <si>
    <t>CS1083</t>
  </si>
  <si>
    <t>CS1084</t>
  </si>
  <si>
    <t>CS1085</t>
  </si>
  <si>
    <t>CS1086</t>
  </si>
  <si>
    <t>CS1087</t>
  </si>
  <si>
    <t>CS1088</t>
  </si>
  <si>
    <t>CS1089</t>
  </si>
  <si>
    <t>CS1090</t>
  </si>
  <si>
    <t>CS1091</t>
  </si>
  <si>
    <t>CS1092</t>
  </si>
  <si>
    <t>CS1093</t>
  </si>
  <si>
    <t>CS1094</t>
  </si>
  <si>
    <t>CS1095</t>
  </si>
  <si>
    <t>CS1096</t>
  </si>
  <si>
    <t>CS1097</t>
  </si>
  <si>
    <t>CS1098</t>
  </si>
  <si>
    <t>CS1099</t>
  </si>
  <si>
    <t>CS1100</t>
  </si>
  <si>
    <t>CS1101</t>
  </si>
  <si>
    <t>CS1102</t>
  </si>
  <si>
    <t>CS1103</t>
  </si>
  <si>
    <t>CS1104</t>
  </si>
  <si>
    <t>CS1105</t>
  </si>
  <si>
    <t>CS1106</t>
  </si>
  <si>
    <t>CS1107</t>
  </si>
  <si>
    <t>CS1108</t>
  </si>
  <si>
    <t>C:\Users\Administrator.WKS01\Desktop\SystemAnalysis\\rocksdb\java\src\main\java\org\rocksdb\EnvOptions.java</t>
  </si>
  <si>
    <t>C:\Users\Administrator.WKS01\Desktop\SystemAnalysis\\rocksdb\java\src\main\java\org\rocksdb\WriteBatchWithIndex.java</t>
  </si>
  <si>
    <t>C:\Users\Administrator.WKS01\Desktop\SystemAnalysis\\rocksdb\java\src\main\java\org\rocksdb\RocksDB.java</t>
  </si>
  <si>
    <t>C:\Users\Administrator.WKS01\Desktop\SystemAnalysis\\rocksdb\java\src\main\java\org\rocksdb\SstFileWriter.java</t>
  </si>
  <si>
    <t>C:\Users\Administrator.WKS01\Desktop\SystemAnalysis\\rocksdb\java\src\main\java\org\rocksdb\Options.java</t>
  </si>
  <si>
    <t>C:\Users\Administrator.WKS01\Desktop\SystemAnalysis\\rocksdb\java\src\test\java\org\rocksdb\WriteBatchTest.java</t>
  </si>
  <si>
    <t>C:\Users\Administrator.WKS01\Desktop\SystemAnalysis\\rocksdb\java\src\main\java\org\rocksdb\AbstractCompactionFilterFactory.java</t>
  </si>
  <si>
    <t>C:\Users\Administrator.WKS01\Desktop\SystemAnalysis\\rocksdb\java\src\main\java\org\rocksdb\Snapshot.java</t>
  </si>
  <si>
    <t>C:\Users\Administrator.WKS01\Desktop\SystemAnalysis\\rocksdb\java\src\main\java\org\rocksdb\DBOptions.java</t>
  </si>
  <si>
    <t>C:\Users\Administrator.WKS01\Desktop\SystemAnalysis\\rocksdb\java\src\main\java\org\rocksdb\ColumnFamilyOptions.java</t>
  </si>
  <si>
    <t>C:\Users\Administrator.WKS01\Desktop\SystemAnalysis\\rocksdb\java\src\main\java\org\rocksdb\ReadOptions.java</t>
  </si>
  <si>
    <t>C:\Users\Administrator.WKS01\Desktop\SystemAnalysis\\rocksdb\java\src\main\java\org\rocksdb\BackupableDBOptions.java</t>
  </si>
  <si>
    <t>C:\Users\Administrator.WKS01\Desktop\SystemAnalysis\\rocksdb\java\src\main\java\org\rocksdb\Statistics.java</t>
  </si>
  <si>
    <t>C:\Users\Administrator.WKS01\Desktop\SystemAnalysis\\rocksdb\java\src\main\java\org\rocksdb\WriteOptions.java</t>
  </si>
  <si>
    <t>C:\Users\Administrator.WKS01\Desktop\SystemAnalysis\\rocksdb\java\src\main\java\org\rocksdb\WriteBatch.java</t>
  </si>
  <si>
    <t>C:\Users\Administrator.WKS01\Desktop\SystemAnalysis\\rocksdb\java\src\main\java\org\rocksdb\WBWIRocksIterator.java</t>
  </si>
  <si>
    <t>C:\Users\Administrator.WKS01\Desktop\SystemAnalysis\\rocksdb\java\src\main\java\org\rocksdb\IngestExternalFileOptions.java</t>
  </si>
  <si>
    <t>C:\Users\Administrator.WKS01\Desktop\SystemAnalysis\\rocksdb\java\src\main\java\org\rocksdb\AbstractSlice.java</t>
  </si>
  <si>
    <t>C:\Users\Administrator.WKS01\Desktop\SystemAnalysis\\rocksdb\java\src\main\java\org\rocksdb\RateLimiter.java</t>
  </si>
  <si>
    <t>C:\Users\Administrator.WKS01\Desktop\SystemAnalysis\\rocksdb\java\src\main\java\org\rocksdb\DirectSlice.java</t>
  </si>
  <si>
    <t>C:\Users\Administrator.WKS01\Desktop\SystemAnalysis\\rocksdb\java\src\main\java\org\rocksdb\CompactionOptionsUniversal.java</t>
  </si>
  <si>
    <t>C:\Users\Administrator.WKS01\Desktop\SystemAnalysis\\rocksdb\java\src\main\java\org\rocksdb\BackupEngine.java</t>
  </si>
  <si>
    <t>C:\Users\Administrator.WKS01\Desktop\SystemAnalysis\\rocksdb\java\src\main\java\org\rocksdb\RocksIterator.java</t>
  </si>
  <si>
    <t>C:\Users\Administrator.WKS01\Desktop\SystemAnalysis\\rocksdb\java\src\main\java\org\rocksdb\RemoveEmptyValueCompactionFilter.java</t>
  </si>
  <si>
    <t>C:\Users\Administrator.WKS01\Desktop\SystemAnalysis\\rocksdb\java\src\main\java\org\rocksdb\Comparator.java</t>
  </si>
  <si>
    <t>C:\Users\Administrator.WKS01\Desktop\SystemAnalysis\\rocksdb\java\src\main\java\org\rocksdb\RocksMemEnv.java</t>
  </si>
  <si>
    <t>C:\Users\Administrator.WKS01\Desktop\SystemAnalysis\\rocksdb\java\src\main\java\org\rocksdb\BlockBasedTableConfig.java</t>
  </si>
  <si>
    <t>C:\Users\Administrator.WKS01\Desktop\SystemAnalysis\\rocksdb\java\src\main\java\org\rocksdb\HashSkipListMemTableConfig.java</t>
  </si>
  <si>
    <t>C:\Users\Administrator.WKS01\Desktop\SystemAnalysis\\rocksdb\java\src\main\java\org\rocksdb\TransactionLogIterator.java</t>
  </si>
  <si>
    <t>C:\Users\Administrator.WKS01\Desktop\SystemAnalysis\\rocksdb\java\src\main\java\org\rocksdb\Env.java</t>
  </si>
  <si>
    <t>C:\Users\Administrator.WKS01\Desktop\SystemAnalysis\\rocksdb\java\src\main\java\org\rocksdb\VectorMemTableConfig.java</t>
  </si>
  <si>
    <t>C:\Users\Administrator.WKS01\Desktop\SystemAnalysis\\rocksdb\java\src\main\java\org\rocksdb\RocksCallbackObject.java</t>
  </si>
  <si>
    <t>C:\Users\Administrator.WKS01\Desktop\SystemAnalysis\\rocksdb\java\src\main\java\org\rocksdb\Checkpoint.java</t>
  </si>
  <si>
    <t>C:\Users\Administrator.WKS01\Desktop\SystemAnalysis\\rocksdb\java\src\main\java\org\rocksdb\CompactionOptionsFIFO.java</t>
  </si>
  <si>
    <t>C:\Users\Administrator.WKS01\Desktop\SystemAnalysis\\rocksdb\java\src\main\java\org\rocksdb\ClockCache.java</t>
  </si>
  <si>
    <t>C:\Users\Administrator.WKS01\Desktop\SystemAnalysis\\rocksdb\java\src\main\java\org\rocksdb\SkipListMemTableConfig.java</t>
  </si>
  <si>
    <t>C:\Users\Administrator.WKS01\Desktop\SystemAnalysis\\rocksdb\java\src\main\java\org\rocksdb\OptionsUtil.java</t>
  </si>
  <si>
    <t>C:\Users\Administrator.WKS01\Desktop\SystemAnalysis\\rocksdb\java\src\main\java\org\rocksdb\FlushOptions.java</t>
  </si>
  <si>
    <t>C:\Users\Administrator.WKS01\Desktop\SystemAnalysis\\rocksdb\java\src\main\java\org\rocksdb\TtlDB.java</t>
  </si>
  <si>
    <t>C:\Users\Administrator.WKS01\Desktop\SystemAnalysis\\rocksdb\java\src\main\java\org\rocksdb\CassandraCompactionFilter.java</t>
  </si>
  <si>
    <t>C:\Users\Administrator.WKS01\Desktop\SystemAnalysis\\rocksdb\java\src\main\java\org\rocksdb\Filter.java</t>
  </si>
  <si>
    <t>C:\Users\Administrator.WKS01\Desktop\SystemAnalysis\\rocksdb\java\src\main\java\org\rocksdb\HashLinkedListMemTableConfig.java</t>
  </si>
  <si>
    <t>C:\Users\Administrator.WKS01\Desktop\SystemAnalysis\\rocksdb\java\src\main\java\org\rocksdb\PlainTableConfig.java</t>
  </si>
  <si>
    <t>C:\Users\Administrator.WKS01\Desktop\SystemAnalysis\\rocksdb\java\src\main\java\org\rocksdb\ColumnFamilyHandle.java</t>
  </si>
  <si>
    <t>C:\Users\Administrator.WKS01\Desktop\SystemAnalysis\\rocksdb\java\src\main\java\org\rocksdb\ComparatorOptions.java</t>
  </si>
  <si>
    <t>C:\Users\Administrator.WKS01\Desktop\SystemAnalysis\\rocksdb\java\src\main\java\org\rocksdb\LRUCache.java</t>
  </si>
  <si>
    <t>C:\Users\Administrator.WKS01\Desktop\SystemAnalysis\\rocksdb\java\src\main\java\org\rocksdb\DirectComparator.java</t>
  </si>
  <si>
    <t>C:\Users\Administrator.WKS01\Desktop\SystemAnalysis\\rocksdb\java\src\main\java\org\rocksdb\CassandraValueMergeOperator.java</t>
  </si>
  <si>
    <t>C:\Users\Administrator.WKS01\Desktop\SystemAnalysis\\rocksdb\java\src\main\java\org\rocksdb\RestoreOptions.java</t>
  </si>
  <si>
    <t>C:\Users\Administrator.WKS01\Desktop\SystemAnalysis\\rocksdb\java\src\main\java\org\rocksdb\Logger.java</t>
  </si>
  <si>
    <t>C:\Users\Administrator.WKS01\Desktop\SystemAnalysis\\rocksdb\java\src\main\java\org\rocksdb\CompressionOptions.java</t>
  </si>
  <si>
    <t>C:\Users\Administrator.WKS01\Desktop\SystemAnalysis\\rocksdb\java\src\main\java\org\rocksdb\AbstractCompactionFilter.java</t>
  </si>
  <si>
    <t>C:\Users\Administrator.WKS01\Desktop\SystemAnalysis\\rocksdb\java\src\main\java\org\rocksdb\BloomFilter.java</t>
  </si>
  <si>
    <t>C:\Users\Administrator.WKS01\Desktop\SystemAnalysis\\rocksdb\java\src\main\java\org\rocksdb\StringAppendOperator.java</t>
  </si>
  <si>
    <t>C:\Users\Administrator.WKS01\Desktop\SystemAnalysis\rocksdb\java\src\main\java\org\rocksdb\RocksDB.java</t>
  </si>
  <si>
    <t>C:\Users\Administrator.WKS01\Desktop\SystemAnalysis\rocksdb\java\src\main\java\org\rocksdb\NativeLibraryLoader.java</t>
  </si>
  <si>
    <t>C:\Users\Administrator.WKS01\Desktop\SystemAnalysis\rocksdb\java\benchmark\src\main\java\org\rocksdb\benchmark\DbBenchmark.java</t>
  </si>
  <si>
    <t>C:\Users\Administrator.WKS01\Desktop\SystemAnalysis\rocksdb\java\src\main\java\org\rocksdb\Options.java</t>
  </si>
  <si>
    <t>C:\Users\Administrator.WKS01\Desktop\SystemAnalysis\rocksdb\java\src\main\java\org\rocksdb\DBOptions.java</t>
  </si>
  <si>
    <t>C:\Users\Administrator.WKS01\Desktop\SystemAnalysis\rocksdb\java\src\main\java\org\rocksdb\EnvOptions.java</t>
  </si>
  <si>
    <t>C:\Users\Administrator.WKS01\Desktop\SystemAnalysis\rocksdb\java\src\main\java\org\rocksdb\ColumnFamilyOptions.java</t>
  </si>
  <si>
    <t>C:\Users\Administrator.WKS01\Desktop\SystemAnalysis\rocksdb\java\src\main\java\org\rocksdb\ReadOptions.java</t>
  </si>
  <si>
    <t>C:\Users\Administrator.WKS01\Desktop\SystemAnalysis\rocksdb\java\src\main\java\org\rocksdb\BackupableDBOptions.java</t>
  </si>
  <si>
    <t>C:\Users\Administrator.WKS01\Desktop\SystemAnalysis\rocksdb\java\src\main\java\org\rocksdb\Slice.java</t>
  </si>
  <si>
    <t>C:\Users\Administrator.WKS01\Desktop\SystemAnalysis\rocksdb\java\src\main\java\org\rocksdb\Statistics.java</t>
  </si>
  <si>
    <t>C:\Users\Administrator.WKS01\Desktop\SystemAnalysis\rocksdb\java\src\main\java\org\rocksdb\Logger.java</t>
  </si>
  <si>
    <t>C:\Users\Administrator.WKS01\Desktop\SystemAnalysis\rocksdb\java\src\main\java\org\rocksdb\SstFileWriter.java</t>
  </si>
  <si>
    <t>C:\Users\Administrator.WKS01\Desktop\SystemAnalysis\rocksdb\java\src\main\java\org\rocksdb\TtlDB.java</t>
  </si>
  <si>
    <t>C:\Users\Administrator.WKS01\Desktop\SystemAnalysis\rocksdb\java\src\test\java\org\rocksdb\WriteBatchTest.java</t>
  </si>
  <si>
    <t>C:\Users\Administrator.WKS01\Desktop\SystemAnalysis\rocksdb\java\src\main\java\org\rocksdb\WriteBatchWithIndex.java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</si>
  <si>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</si>
  <si>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</si>
  <si>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</si>
  <si>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</si>
  <si>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</si>
  <si>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</si>
  <si>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</si>
  <si>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</si>
  <si>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</si>
  <si>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</si>
  <si>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</si>
  <si>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</si>
  <si>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</si>
  <si>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</si>
  <si>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</si>
  <si>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</si>
  <si>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</si>
  <si>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</si>
  <si>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</si>
  <si>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</si>
  <si>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</si>
  <si>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</si>
  <si>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</si>
  <si>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AP24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</si>
  <si>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</si>
  <si>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</si>
  <si>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</si>
  <si>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</si>
  <si>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</si>
  <si>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</si>
  <si>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</si>
  <si>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</si>
  <si>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</si>
  <si>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</si>
  <si>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</si>
  <si>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</si>
  <si>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</si>
  <si>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</si>
  <si>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</si>
  <si>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</si>
  <si>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</si>
  <si>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</si>
  <si>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</si>
  <si>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</si>
  <si>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</si>
  <si>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</si>
  <si>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</si>
  <si>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</si>
  <si>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</si>
  <si>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</si>
  <si>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</si>
  <si>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</si>
  <si>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AP53</t>
  </si>
  <si>
    <t>AP54</t>
  </si>
  <si>
    <t>AP55</t>
  </si>
  <si>
    <t>AP56</t>
  </si>
  <si>
    <t>AP57</t>
  </si>
  <si>
    <t>AP58</t>
  </si>
  <si>
    <t>AP59</t>
  </si>
  <si>
    <t>AP60</t>
  </si>
  <si>
    <t>AP61</t>
  </si>
  <si>
    <t>AP62</t>
  </si>
  <si>
    <t>AP63</t>
  </si>
  <si>
    <t>AP64</t>
  </si>
  <si>
    <t>AP65</t>
  </si>
  <si>
    <t>AP66</t>
  </si>
  <si>
    <t>AP67</t>
  </si>
  <si>
    <t>AP68</t>
  </si>
  <si>
    <t>AP69</t>
  </si>
  <si>
    <t>AP70</t>
  </si>
  <si>
    <t>AP71</t>
  </si>
  <si>
    <t>AP72</t>
  </si>
  <si>
    <t>AP73</t>
  </si>
  <si>
    <t>AP74</t>
  </si>
  <si>
    <t>AP75</t>
  </si>
  <si>
    <t>AP76</t>
  </si>
  <si>
    <t>AP77</t>
  </si>
  <si>
    <t>AP78</t>
  </si>
  <si>
    <t>AP79</t>
  </si>
  <si>
    <t>AP80</t>
  </si>
  <si>
    <t>AP81</t>
  </si>
  <si>
    <t>AP82</t>
  </si>
  <si>
    <t>AP83</t>
  </si>
  <si>
    <t>AP84</t>
  </si>
  <si>
    <t>AP85</t>
  </si>
  <si>
    <t>AP86</t>
  </si>
  <si>
    <t>AP87</t>
  </si>
  <si>
    <t>AP88</t>
  </si>
  <si>
    <t>AP89</t>
  </si>
  <si>
    <t>AP90</t>
  </si>
  <si>
    <t>AP91</t>
  </si>
  <si>
    <t>AP92</t>
  </si>
  <si>
    <t>AP93</t>
  </si>
  <si>
    <t>AP94</t>
  </si>
  <si>
    <t>AP95</t>
  </si>
  <si>
    <t>AP96</t>
  </si>
  <si>
    <t>AP97</t>
  </si>
  <si>
    <t>AP98</t>
  </si>
  <si>
    <t>AP99</t>
  </si>
  <si>
    <t>AP100</t>
  </si>
  <si>
    <t>AP101</t>
  </si>
  <si>
    <t>AP102</t>
  </si>
  <si>
    <t>AP103</t>
  </si>
  <si>
    <t>AP104</t>
  </si>
  <si>
    <t>AP105</t>
  </si>
  <si>
    <t>AP106</t>
  </si>
  <si>
    <t>AP107</t>
  </si>
  <si>
    <t>AP108</t>
  </si>
  <si>
    <t>AP109</t>
  </si>
  <si>
    <t>AP110</t>
  </si>
  <si>
    <t>AP111</t>
  </si>
  <si>
    <t>AP112</t>
  </si>
  <si>
    <t>AP113</t>
  </si>
  <si>
    <t>AP114</t>
  </si>
  <si>
    <t>AP115</t>
  </si>
  <si>
    <t>AP116</t>
  </si>
  <si>
    <t>AP117</t>
  </si>
  <si>
    <t>AP118</t>
  </si>
  <si>
    <t>AP119</t>
  </si>
  <si>
    <t>AP120</t>
  </si>
  <si>
    <t>AP121</t>
  </si>
  <si>
    <t>AP122</t>
  </si>
  <si>
    <t>AP123</t>
  </si>
  <si>
    <t>AP124</t>
  </si>
  <si>
    <t>AP125</t>
  </si>
  <si>
    <t>AP126</t>
  </si>
  <si>
    <t>AP127</t>
  </si>
  <si>
    <t>AP128</t>
  </si>
  <si>
    <t>AP129</t>
  </si>
  <si>
    <t>AP130</t>
  </si>
  <si>
    <t>AP131</t>
  </si>
  <si>
    <t>AP132</t>
  </si>
  <si>
    <t>AP133</t>
  </si>
  <si>
    <t>AP134</t>
  </si>
  <si>
    <t>AP135</t>
  </si>
  <si>
    <t>AP136</t>
  </si>
  <si>
    <t>AP137</t>
  </si>
  <si>
    <t>AP138</t>
  </si>
  <si>
    <t>AP139</t>
  </si>
  <si>
    <t>AP140</t>
  </si>
  <si>
    <t>AP141</t>
  </si>
  <si>
    <t>AP142</t>
  </si>
  <si>
    <t>AP143</t>
  </si>
  <si>
    <t>AP144</t>
  </si>
  <si>
    <t>AP145</t>
  </si>
  <si>
    <t>AP146</t>
  </si>
  <si>
    <t>AP147</t>
  </si>
  <si>
    <t>AP148</t>
  </si>
  <si>
    <t>AP149</t>
  </si>
  <si>
    <t>AP150</t>
  </si>
  <si>
    <t>AP151</t>
  </si>
  <si>
    <t>AP152</t>
  </si>
  <si>
    <t>AP153</t>
  </si>
  <si>
    <t>AP154</t>
  </si>
  <si>
    <t>AP155</t>
  </si>
  <si>
    <t>AP156</t>
  </si>
  <si>
    <t>AP157</t>
  </si>
  <si>
    <t>AP158</t>
  </si>
  <si>
    <t>AP159</t>
  </si>
  <si>
    <t>AP160</t>
  </si>
  <si>
    <t>AP161</t>
  </si>
  <si>
    <t>AP162</t>
  </si>
  <si>
    <t>AP163</t>
  </si>
  <si>
    <t>AP164</t>
  </si>
  <si>
    <t>AP165</t>
  </si>
  <si>
    <t>AP166</t>
  </si>
  <si>
    <t>AP167</t>
  </si>
  <si>
    <t>AP168</t>
  </si>
  <si>
    <t>AP169</t>
  </si>
  <si>
    <t>AP170</t>
  </si>
  <si>
    <t>AP171</t>
  </si>
  <si>
    <t>AP172</t>
  </si>
  <si>
    <t>AP173</t>
  </si>
  <si>
    <t>AP174</t>
  </si>
  <si>
    <t>AP175</t>
  </si>
  <si>
    <t>AP176</t>
  </si>
  <si>
    <t>AP177</t>
  </si>
  <si>
    <t>AP178</t>
  </si>
  <si>
    <t>AP179</t>
  </si>
  <si>
    <t>AP180</t>
  </si>
  <si>
    <t>AP181</t>
  </si>
  <si>
    <t>AP182</t>
  </si>
  <si>
    <t>AP183</t>
  </si>
  <si>
    <t>AP184</t>
  </si>
  <si>
    <t>AP185</t>
  </si>
  <si>
    <t>AP186</t>
  </si>
  <si>
    <t>AP187</t>
  </si>
  <si>
    <t>AP188</t>
  </si>
  <si>
    <t>AP189</t>
  </si>
  <si>
    <t>AP190</t>
  </si>
  <si>
    <t>AP191</t>
  </si>
  <si>
    <t>AP192</t>
  </si>
  <si>
    <t>AP193</t>
  </si>
  <si>
    <t>AP194</t>
  </si>
  <si>
    <t>AP195</t>
  </si>
  <si>
    <t>AP196</t>
  </si>
  <si>
    <t>AP197</t>
  </si>
  <si>
    <t>AP198</t>
  </si>
  <si>
    <t>AP199</t>
  </si>
  <si>
    <t>AP200</t>
  </si>
  <si>
    <t>AP201</t>
  </si>
  <si>
    <t>AP202</t>
  </si>
  <si>
    <t>AP203</t>
  </si>
  <si>
    <t>AP204</t>
  </si>
  <si>
    <t>AP205</t>
  </si>
  <si>
    <t>AP206</t>
  </si>
  <si>
    <t>AP207</t>
  </si>
  <si>
    <t>AP208</t>
  </si>
  <si>
    <t>AP209</t>
  </si>
  <si>
    <t>AP210</t>
  </si>
  <si>
    <t>AP211</t>
  </si>
  <si>
    <t>AP212</t>
  </si>
  <si>
    <t>AP213</t>
  </si>
  <si>
    <t>AP214</t>
  </si>
  <si>
    <t>AP215</t>
  </si>
  <si>
    <t>AP216</t>
  </si>
  <si>
    <t>AP217</t>
  </si>
  <si>
    <t>AP218</t>
  </si>
  <si>
    <t>AP219</t>
  </si>
  <si>
    <t>AP220</t>
  </si>
  <si>
    <t>AP221</t>
  </si>
  <si>
    <t>AP222</t>
  </si>
  <si>
    <t>AP223</t>
  </si>
  <si>
    <t>AP224</t>
  </si>
  <si>
    <t>AP225</t>
  </si>
  <si>
    <t>AP226</t>
  </si>
  <si>
    <t>AP227</t>
  </si>
  <si>
    <t>AP228</t>
  </si>
  <si>
    <t>AP229</t>
  </si>
  <si>
    <t>AP230</t>
  </si>
  <si>
    <t>AP231</t>
  </si>
  <si>
    <t>AP232</t>
  </si>
  <si>
    <t>AP233</t>
  </si>
  <si>
    <t>AP234</t>
  </si>
  <si>
    <t>AP235</t>
  </si>
  <si>
    <t>AP236</t>
  </si>
  <si>
    <t>AP237</t>
  </si>
  <si>
    <t>AP238</t>
  </si>
  <si>
    <t>AP239</t>
  </si>
  <si>
    <t>AP240</t>
  </si>
  <si>
    <t>AP241</t>
  </si>
  <si>
    <t>AP242</t>
  </si>
  <si>
    <t>AP243</t>
  </si>
  <si>
    <t>AP244</t>
  </si>
  <si>
    <t>AP245</t>
  </si>
  <si>
    <t>AP246</t>
  </si>
  <si>
    <t>AP247</t>
  </si>
  <si>
    <t>AP248</t>
  </si>
  <si>
    <t>AP249</t>
  </si>
  <si>
    <t>AP250</t>
  </si>
  <si>
    <t>AP251</t>
  </si>
  <si>
    <t>AP252</t>
  </si>
  <si>
    <t>AP253</t>
  </si>
  <si>
    <t>AP254</t>
  </si>
  <si>
    <t>AP255</t>
  </si>
  <si>
    <t>AP256</t>
  </si>
  <si>
    <t>AP257</t>
  </si>
  <si>
    <t>AP258</t>
  </si>
  <si>
    <t>AP259</t>
  </si>
  <si>
    <t>AP260</t>
  </si>
  <si>
    <t>AP261</t>
  </si>
  <si>
    <t>AP262</t>
  </si>
  <si>
    <t>AP263</t>
  </si>
  <si>
    <t>AP264</t>
  </si>
  <si>
    <t>AP265</t>
  </si>
  <si>
    <t>AP266</t>
  </si>
  <si>
    <t>AP267</t>
  </si>
  <si>
    <t>AP268</t>
  </si>
  <si>
    <t>AP269</t>
  </si>
  <si>
    <t>AP270</t>
  </si>
  <si>
    <t>AP271</t>
  </si>
  <si>
    <t>AP272</t>
  </si>
  <si>
    <t>AP273</t>
  </si>
  <si>
    <t>AP274</t>
  </si>
  <si>
    <t>AP275</t>
  </si>
  <si>
    <t>AP276</t>
  </si>
  <si>
    <t>AP277</t>
  </si>
  <si>
    <t>AP278</t>
  </si>
  <si>
    <t>AP279</t>
  </si>
  <si>
    <t>AP280</t>
  </si>
  <si>
    <t>AP281</t>
  </si>
  <si>
    <t>AP282</t>
  </si>
  <si>
    <t>AP283</t>
  </si>
  <si>
    <t>AP284</t>
  </si>
  <si>
    <t>AP285</t>
  </si>
  <si>
    <t>AP286</t>
  </si>
  <si>
    <t>AP287</t>
  </si>
  <si>
    <t>AP288</t>
  </si>
  <si>
    <t>AP289</t>
  </si>
  <si>
    <t>AP290</t>
  </si>
  <si>
    <t>AP291</t>
  </si>
  <si>
    <t>AP292</t>
  </si>
  <si>
    <t>AP293</t>
  </si>
  <si>
    <t>AP294</t>
  </si>
  <si>
    <t>AP295</t>
  </si>
  <si>
    <t>AP296</t>
  </si>
  <si>
    <t>AP297</t>
  </si>
  <si>
    <t>AP298</t>
  </si>
  <si>
    <t>AP299</t>
  </si>
  <si>
    <t>AP300</t>
  </si>
  <si>
    <t>AP301</t>
  </si>
  <si>
    <t>AP302</t>
  </si>
  <si>
    <t>AP303</t>
  </si>
  <si>
    <t>AP304</t>
  </si>
  <si>
    <t>AP305</t>
  </si>
  <si>
    <t>AP306</t>
  </si>
  <si>
    <t>rocksdb/java/rocksjni/options.cc</t>
  </si>
  <si>
    <t>rocksdb/java/rocksjni/ttl.cc</t>
  </si>
  <si>
    <t>C:\Users\Administrator.WKS01\Desktop\SystemAnalysis\rocksdb\java\rocksjni\portal.h</t>
  </si>
  <si>
    <t>C:\Users\Administrator.WKS01\Desktop\SystemAnalysis\rocksdb\db\internal_stats.cc</t>
  </si>
  <si>
    <t>C:\Users\Administrator.WKS01\Desktop\SystemAnalysis\rocksdb\db\db_compaction_filter_test.cc</t>
  </si>
  <si>
    <t>C:\Users\Administrator.WKS01\Desktop\SystemAnalysis\rocksdb\utilities\document\document_db.cc</t>
  </si>
  <si>
    <t>C:\Users\Administrator.WKS01\Desktop\SystemAnalysis\rocksdb\table\full_filter_block.cc</t>
  </si>
  <si>
    <t>C:\Users\Administrator.WKS01\Desktop\SystemAnalysis\rocksdb\java\src\test\java\org\rocksdb\StatsCallbackMock.java</t>
  </si>
  <si>
    <t>C:\Users\Administrator.WKS01\Desktop\SystemAnalysis\rocksdb\utilities\merge_operators\put.cc</t>
  </si>
  <si>
    <t>C:\Users\Administrator.WKS01\Desktop\SystemAnalysis\rocksdb\env\env_hdfs.cc</t>
  </si>
  <si>
    <t>C:\Users\Administrator.WKS01\Desktop\SystemAnalysis\rocksdb\utilities\table_properties_collectors\compact_on_deletion_collector.cc</t>
  </si>
  <si>
    <t>C:\Users\Administrator.WKS01\Desktop\SystemAnalysis\rocksdb\table\table_test.cc</t>
  </si>
  <si>
    <t>C:\Users\Administrator.WKS01\Desktop\SystemAnalysis\rocksdb\util\thread_list_test.cc</t>
  </si>
  <si>
    <t>C:\Users\Administrator.WKS01\Desktop\SystemAnalysis\rocksdb\tools\db_bench_tool.cc</t>
  </si>
  <si>
    <t>C:\Users\Administrator.WKS01\Desktop\SystemAnalysis\rocksdb\env\io_posix.cc</t>
  </si>
  <si>
    <t>C:\Users\Administrator.WKS01\Desktop\SystemAnalysis\rocksdb\db\c_test.c</t>
  </si>
  <si>
    <t>C:\Users\Administrator.WKS01\Desktop\SystemAnalysis\rocksdb\monitoring\thread_status_util.cc</t>
  </si>
  <si>
    <t>C:\Users\Administrator.WKS01\Desktop\SystemAnalysis\rocksdb\utilities\blob_db\blob_db_impl.cc</t>
  </si>
  <si>
    <t>C:\Users\Administrator.WKS01\Desktop\SystemAnalysis\rocksdb\db\manual_compaction_test.cc</t>
  </si>
  <si>
    <t>C:\Users\Administrator.WKS01\Desktop\SystemAnalysis\rocksdb\utilities\merge_operators\max.cc</t>
  </si>
  <si>
    <t>C:\Users\Administrator.WKS01\Desktop\SystemAnalysis\rocksdb\java\src\main\java\org\rocksdb\AbstractComparator.java</t>
  </si>
  <si>
    <t>C:\Users\Administrator.WKS01\Desktop\SystemAnalysis\rocksdb\env\mock_env.cc</t>
  </si>
  <si>
    <t>C:\Users\Administrator.WKS01\Desktop\SystemAnalysis\rocksdb\table\block_based_table_builder.cc</t>
  </si>
  <si>
    <t>C:\Users\Administrator.WKS01\Desktop\SystemAnalysis\rocksdb\table\table_reader_bench.cc</t>
  </si>
  <si>
    <t>C:\Users\Administrator.WKS01\Desktop\SystemAnalysis\rocksdb\cache\clock_cache.cc</t>
  </si>
  <si>
    <t>C:\Users\Administrator.WKS01\Desktop\SystemAnalysis\rocksdb\util\crc32c_ppc.c</t>
  </si>
  <si>
    <t>C:\Users\Administrator.WKS01\Desktop\SystemAnalysis\rocksdb\db\compaction_iterator_test.cc</t>
  </si>
  <si>
    <t>C:\Users\Administrator.WKS01\Desktop\SystemAnalysis\rocksdb\db\listener_test.cc</t>
  </si>
  <si>
    <t>C:\Users\Administrator.WKS01\Desktop\SystemAnalysis\rocksdb\memtable\hash_skiplist_rep.cc</t>
  </si>
  <si>
    <t>C:\Users\Administrator.WKS01\Desktop\SystemAnalysis\rocksdb\memtable\memtablerep_bench.cc</t>
  </si>
  <si>
    <t>C:\Users\Administrator.WKS01\Desktop\SystemAnalysis\rocksdb\db\builder.cc</t>
  </si>
  <si>
    <t>C:\Users\Administrator.WKS01\Desktop\SystemAnalysis\rocksdb\db\external_sst_file_test.cc</t>
  </si>
  <si>
    <t>C:\Users\Administrator.WKS01\Desktop\SystemAnalysis\rocksdb\utilities\compaction_filters\remove_emptyvalue_compactionfilter.cc</t>
  </si>
  <si>
    <t>C:\Users\Administrator.WKS01\Desktop\SystemAnalysis\rocksdb\env\env_encryption.cc</t>
  </si>
  <si>
    <t>C:\Users\Administrator.WKS01\Desktop\SystemAnalysis\rocksdb\table\cuckoo_table_reader.cc</t>
  </si>
  <si>
    <t>C:\Users\Administrator.WKS01\Desktop\SystemAnalysis\rocksdb\db\transaction_log_impl.cc</t>
  </si>
  <si>
    <t>C:\Users\Administrator.WKS01\Desktop\SystemAnalysis\rocksdb\db\db_properties_test.cc</t>
  </si>
  <si>
    <t>C:\Users\Administrator.WKS01\Desktop\SystemAnalysis\rocksdb\utilities\options\options_util_test.cc</t>
  </si>
  <si>
    <t>C:\Users\Administrator.WKS01\Desktop\SystemAnalysis\rocksdb\utilities\cassandra\merge_operator.cc</t>
  </si>
  <si>
    <t>C:\Users\Administrator.WKS01\Desktop\SystemAnalysis\rocksdb\util\sst_file_manager_impl.cc</t>
  </si>
  <si>
    <t>C:\Users\Administrator.WKS01\Desktop\SystemAnalysis\rocksdb\db\version_edit.cc</t>
  </si>
  <si>
    <t>C:\Users\Administrator.WKS01\Desktop\SystemAnalysis\rocksdb\table\plain_table_factory.cc</t>
  </si>
  <si>
    <t>C:\Users\Administrator.WKS01\Desktop\SystemAnalysis\rocksdb\utilities\backupable\backupable_db_test.cc</t>
  </si>
  <si>
    <t>C:\Users\Administrator.WKS01\Desktop\SystemAnalysis\rocksdb\examples\options_file_example.cc</t>
  </si>
  <si>
    <t>C:\Users\Administrator.WKS01\Desktop\SystemAnalysis\rocksdb\db\compaction_picker.cc</t>
  </si>
  <si>
    <t>C:\Users\Administrator.WKS01\Desktop\SystemAnalysis\rocksdb\tools\sst_dump_tool.cc</t>
  </si>
  <si>
    <t>C:\Users\Administrator.WKS01\Desktop\SystemAnalysis\rocksdb\java\src\main\java\org\rocksdb\RocksEnv.java</t>
  </si>
  <si>
    <t>C:\Users\Administrator.WKS01\Desktop\SystemAnalysis\rocksdb\db\db_impl_readonly.cc</t>
  </si>
  <si>
    <t>C:\Users\Administrator.WKS01\Desktop\SystemAnalysis\rocksdb\utilities\merge_operators\string_append\stringappend2.cc</t>
  </si>
  <si>
    <t>C:\Users\Administrator.WKS01\Desktop\SystemAnalysis\rocksdb\db\experimental.cc</t>
  </si>
  <si>
    <t>C:\Users\Administrator.WKS01\Desktop\SystemAnalysis\rocksdb\table\adaptive_table_factory.cc</t>
  </si>
  <si>
    <t>C:\Users\Administrator.WKS01\Desktop\SystemAnalysis\rocksdb\java\rocksjni\backupablejni.cc</t>
  </si>
  <si>
    <t>C:\Users\Administrator.WKS01\Desktop\SystemAnalysis\rocksdb\db\db_test.cc</t>
  </si>
  <si>
    <t>C:\Users\Administrator.WKS01\Desktop\SystemAnalysis\rocksdb\table\block_based_filter_block.cc</t>
  </si>
  <si>
    <t>C:\Users\Administrator.WKS01\Desktop\SystemAnalysis\rocksdb\table\plain_table_reader.cc</t>
  </si>
  <si>
    <t>C:\Users\Administrator.WKS01\Desktop\SystemAnalysis\rocksdb\utilities\env_librados.cc</t>
  </si>
  <si>
    <t>C:\Users\Administrator.WKS01\Desktop\SystemAnalysis\rocksdb\db\db_impl.cc</t>
  </si>
  <si>
    <t>C:\Users\Administrator.WKS01\Desktop\SystemAnalysis\rocksdb\monitoring\thread_status_updater.cc</t>
  </si>
  <si>
    <t>C:\Users\Administrator.WKS01\Desktop\SystemAnalysis\rocksdb\port\win\io_win.cc</t>
  </si>
  <si>
    <t>C:\Users\Administrator.WKS01\Desktop\SystemAnalysis\rocksdb\db\write_batch_test.cc</t>
  </si>
  <si>
    <t>C:\Users\Administrator.WKS01\Desktop\SystemAnalysis\rocksdb\memtable\skiplistrep.cc</t>
  </si>
  <si>
    <t>C:\Users\Administrator.WKS01\Desktop\SystemAnalysis\rocksdb\examples\compaction_filter_example.cc</t>
  </si>
  <si>
    <t>C:\Users\Administrator.WKS01\Desktop\SystemAnalysis\rocksdb\java\src\main\java\org\rocksdb\AbstractCompactionFilterFactory.java</t>
  </si>
  <si>
    <t>C:\Users\Administrator.WKS01\Desktop\SystemAnalysis\rocksdb\db\internal_stats.h</t>
  </si>
  <si>
    <t>C:\Users\Administrator.WKS01\Desktop\SystemAnalysis\rocksdb\table\mock_table.cc</t>
  </si>
  <si>
    <t>C:\Users\Administrator.WKS01\Desktop\SystemAnalysis\rocksdb\util\thread_local.cc</t>
  </si>
  <si>
    <t>C:\Users\Administrator.WKS01\Desktop\SystemAnalysis\rocksdb\tools\ldb_cmd.cc</t>
  </si>
  <si>
    <t>C:\Users\Administrator.WKS01\Desktop\SystemAnalysis\rocksdb\memtable\hash_cuckoo_rep.cc</t>
  </si>
  <si>
    <t>C:\Users\Administrator.WKS01\Desktop\SystemAnalysis\rocksdb\utilities\option_change_migration\option_change_migration.cc</t>
  </si>
  <si>
    <t>C:\Users\Administrator.WKS01\Desktop\SystemAnalysis\rocksdb\include\rocksdb\db.h</t>
  </si>
  <si>
    <t>C:\Users\Administrator.WKS01\Desktop\SystemAnalysis\rocksdb\utilities\merge_operators\string_append\stringappend.cc</t>
  </si>
  <si>
    <t>C:\Users\Administrator.WKS01\Desktop\SystemAnalysis\rocksdb\java\src\test\java\org\rocksdb\CompactionFilterFactoryTest.java</t>
  </si>
  <si>
    <t>C:\Users\Administrator.WKS01\Desktop\SystemAnalysis\rocksdb\include\rocksdb\env.h</t>
  </si>
  <si>
    <t>C:\Users\Administrator.WKS01\Desktop\SystemAnalysis\rocksdb\table\cuckoo_table_builder_test.cc</t>
  </si>
  <si>
    <t>C:\Users\Administrator.WKS01\Desktop\SystemAnalysis\rocksdb\db\plain_table_db_test.cc</t>
  </si>
  <si>
    <t>C:\Users\Administrator.WKS01\Desktop\SystemAnalysis\rocksdb\db\table_properties_collector_test.cc</t>
  </si>
  <si>
    <t>C:\Users\Administrator.WKS01\Desktop\SystemAnalysis\rocksdb\db\db_test_util.cc</t>
  </si>
  <si>
    <t>C:\Users\Administrator.WKS01\Desktop\SystemAnalysis\rocksdb\table\cuckoo_table_factory.cc</t>
  </si>
  <si>
    <t>C:\Users\Administrator.WKS01\Desktop\SystemAnalysis\rocksdb\utilities\cassandra\cassandra_compaction_filter.cc</t>
  </si>
  <si>
    <t>C:\Users\Administrator.WKS01\Desktop\SystemAnalysis\rocksdb\utilities\document\json_document.cc</t>
  </si>
  <si>
    <t>C:\Users\Administrator.WKS01\Desktop\SystemAnalysis\rocksdb\table\block_based_table_reader.cc</t>
  </si>
  <si>
    <t>C:\Users\Administrator.WKS01\Desktop\SystemAnalysis\rocksdb\db\c.cc</t>
  </si>
  <si>
    <t>C:\Users\Administrator.WKS01\Desktop\SystemAnalysis\rocksdb\options\options_parser.cc</t>
  </si>
  <si>
    <t>C:\Users\Administrator.WKS01\Desktop\SystemAnalysis\rocksdb\java\src\main\java\org\rocksdb\Snapshot.java</t>
  </si>
  <si>
    <t>C:\Users\Administrator.WKS01\Desktop\SystemAnalysis\rocksdb\utilities\ttl\ttl_test.cc</t>
  </si>
  <si>
    <t>C:\Users\Administrator.WKS01\Desktop\SystemAnalysis\rocksdb\db\version_set.cc</t>
  </si>
  <si>
    <t>C:\Users\Administrator.WKS01\Desktop\SystemAnalysis\rocksdb\memtable\vectorrep.cc</t>
  </si>
  <si>
    <t>C:\Users\Administrator.WKS01\Desktop\SystemAnalysis\rocksdb\utilities\transactions\write_prepared_txn.cc</t>
  </si>
  <si>
    <t>C:\Users\Administrator.WKS01\Desktop\SystemAnalysis\rocksdb\include\rocksdb\utilities\transaction.h</t>
  </si>
  <si>
    <t>C:\Users\Administrator.WKS01\Desktop\SystemAnalysis\rocksdb\db\db_test2.cc</t>
  </si>
  <si>
    <t>C:\Users\Administrator.WKS01\Desktop\SystemAnalysis\rocksdb\java\src\main\java\org\rocksdb\WriteOptions.java</t>
  </si>
  <si>
    <t>C:\Users\Administrator.WKS01\Desktop\SystemAnalysis\rocksdb\java\src\main\java\org\rocksdb\WriteBatch.java</t>
  </si>
  <si>
    <t>C:\Users\Administrator.WKS01\Desktop\SystemAnalysis\rocksdb\java\src\main\java\org\rocksdb\WBWIRocksIterator.java</t>
  </si>
  <si>
    <t>C:\Users\Administrator.WKS01\Desktop\SystemAnalysis\rocksdb\java\src\main\java\org\rocksdb\IngestExternalFileOptions.java</t>
  </si>
  <si>
    <t>C:\Users\Administrator.WKS01\Desktop\SystemAnalysis\rocksdb\java\src\main\java\org\rocksdb\AbstractSlice.java</t>
  </si>
  <si>
    <t>C:\Users\Administrator.WKS01\Desktop\SystemAnalysis\rocksdb\java\src\main\java\org\rocksdb\RateLimiter.java</t>
  </si>
  <si>
    <t>C:\Users\Administrator.WKS01\Desktop\SystemAnalysis\rocksdb\java\src\main\java\org\rocksdb\DirectSlice.java</t>
  </si>
  <si>
    <t>C:\Users\Administrator.WKS01\Desktop\SystemAnalysis\rocksdb\java\src\main\java\org\rocksdb\CompactionOptionsUniversal.java</t>
  </si>
  <si>
    <t>C:\Users\Administrator.WKS01\Desktop\SystemAnalysis\rocksdb\java\src\main\java\org\rocksdb\BackupEngine.java</t>
  </si>
  <si>
    <t>C:\Users\Administrator.WKS01\Desktop\SystemAnalysis\rocksdb\java\src\main\java\org\rocksdb\RocksIterator.java</t>
  </si>
  <si>
    <t>C:\Users\Administrator.WKS01\Desktop\SystemAnalysis\rocksdb\java\src\main\java\org\rocksdb\RemoveEmptyValueCompactionFilter.java</t>
  </si>
  <si>
    <t>C:\Users\Administrator.WKS01\Desktop\SystemAnalysis\rocksdb\java\src\main\java\org\rocksdb\Comparator.java</t>
  </si>
  <si>
    <t>C:\Users\Administrator.WKS01\Desktop\SystemAnalysis\rocksdb\java\src\main\java\org\rocksdb\RocksMemEnv.java</t>
  </si>
  <si>
    <t>C:\Users\Administrator.WKS01\Desktop\SystemAnalysis\rocksdb\java\src\main\java\org\rocksdb\BlockBasedTableConfig.java</t>
  </si>
  <si>
    <t>C:\Users\Administrator.WKS01\Desktop\SystemAnalysis\rocksdb\java\src\main\java\org\rocksdb\HashSkipListMemTableConfig.java</t>
  </si>
  <si>
    <t>C:\Users\Administrator.WKS01\Desktop\SystemAnalysis\rocksdb\java\src\main\java\org\rocksdb\TransactionLogIterator.java</t>
  </si>
  <si>
    <t>C:\Users\Administrator.WKS01\Desktop\SystemAnalysis\rocksdb\java\src\main\java\org\rocksdb\Env.java</t>
  </si>
  <si>
    <t>C:\Users\Administrator.WKS01\Desktop\SystemAnalysis\rocksdb\java\src\main\java\org\rocksdb\VectorMemTableConfig.java</t>
  </si>
  <si>
    <t>C:\Users\Administrator.WKS01\Desktop\SystemAnalysis\rocksdb\java\src\main\java\org\rocksdb\RocksCallbackObject.java</t>
  </si>
  <si>
    <t>C:\Users\Administrator.WKS01\Desktop\SystemAnalysis\rocksdb\java\src\main\java\org\rocksdb\Checkpoint.java</t>
  </si>
  <si>
    <t>C:\Users\Administrator.WKS01\Desktop\SystemAnalysis\rocksdb\java\src\main\java\org\rocksdb\CompactionOptionsFIFO.java</t>
  </si>
  <si>
    <t>C:\Users\Administrator.WKS01\Desktop\SystemAnalysis\rocksdb\java\src\main\java\org\rocksdb\ClockCache.java</t>
  </si>
  <si>
    <t>C:\Users\Administrator.WKS01\Desktop\SystemAnalysis\rocksdb\java\src\main\java\org\rocksdb\SkipListMemTableConfig.java</t>
  </si>
  <si>
    <t>C:\Users\Administrator.WKS01\Desktop\SystemAnalysis\rocksdb\java\src\main\java\org\rocksdb\OptionsUtil.java</t>
  </si>
  <si>
    <t>C:\Users\Administrator.WKS01\Desktop\SystemAnalysis\rocksdb\java\src\main\java\org\rocksdb\FlushOptions.java</t>
  </si>
  <si>
    <t>C:\Users\Administrator.WKS01\Desktop\SystemAnalysis\rocksdb\java\src\main\java\org\rocksdb\CassandraCompactionFilter.java</t>
  </si>
  <si>
    <t>C:\Users\Administrator.WKS01\Desktop\SystemAnalysis\rocksdb\java\src\main\java\org\rocksdb\Filter.java</t>
  </si>
  <si>
    <t>C:\Users\Administrator.WKS01\Desktop\SystemAnalysis\rocksdb\java\src\main\java\org\rocksdb\HashLinkedListMemTableConfig.java</t>
  </si>
  <si>
    <t>C:\Users\Administrator.WKS01\Desktop\SystemAnalysis\rocksdb\java\src\main\java\org\rocksdb\PlainTableConfig.java</t>
  </si>
  <si>
    <t>C:\Users\Administrator.WKS01\Desktop\SystemAnalysis\rocksdb\java\src\main\java\org\rocksdb\ColumnFamilyHandle.java</t>
  </si>
  <si>
    <t>C:\Users\Administrator.WKS01\Desktop\SystemAnalysis\rocksdb\java\src\main\java\org\rocksdb\ComparatorOptions.java</t>
  </si>
  <si>
    <t>C:\Users\Administrator.WKS01\Desktop\SystemAnalysis\rocksdb\java\src\main\java\org\rocksdb\LRUCache.java</t>
  </si>
  <si>
    <t>C:\Users\Administrator.WKS01\Desktop\SystemAnalysis\rocksdb\java\src\main\java\org\rocksdb\DirectComparator.java</t>
  </si>
  <si>
    <t>C:\Users\Administrator.WKS01\Desktop\SystemAnalysis\rocksdb\java\src\main\java\org\rocksdb\CassandraValueMergeOperator.java</t>
  </si>
  <si>
    <t>C:\Users\Administrator.WKS01\Desktop\SystemAnalysis\rocksdb\java\src\main\java\org\rocksdb\RestoreOptions.java</t>
  </si>
  <si>
    <t>C:\Users\Administrator.WKS01\Desktop\SystemAnalysis\rocksdb\java\src\main\java\org\rocksdb\CompressionOptions.java</t>
  </si>
  <si>
    <t>C:\Users\Administrator.WKS01\Desktop\SystemAnalysis\rocksdb\java\src\main\java\org\rocksdb\AbstractCompactionFilter.java</t>
  </si>
  <si>
    <t>C:\Users\Administrator.WKS01\Desktop\SystemAnalysis\rocksdb\java\src\main\java\org\rocksdb\BloomFilter.java</t>
  </si>
  <si>
    <t>C:\Users\Administrator.WKS01\Desktop\SystemAnalysis\rocksdb\java\src\main\java\org\rocksdb\StringAppendOperator.java</t>
  </si>
  <si>
    <t>C:\Users\Administrator.WKS01\Desktop\SystemAnalysis\rocksdb\table\block_test.cc</t>
  </si>
  <si>
    <t>C:\Users\Administrator.WKS01\Desktop\SystemAnalysis\rocksdb\table\plain_table_key_coding.cc</t>
  </si>
  <si>
    <t>C:\Users\Administrator.WKS01\Desktop\SystemAnalysis\rocksdb\tools\db_stress.cc</t>
  </si>
  <si>
    <t>C:\Users\Administrator.WKS01\Desktop\SystemAnalysis\rocksdb\db\table_properties_collector.cc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</si>
</sst>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an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5">
    <xf numFmtId="0" fontId="0" fillId="0" borderId="0" xfId="0"/>
    <xf numFmtId="0" fontId="6" fillId="2" borderId="0" xfId="6"/>
    <xf numFmtId="0" fontId="7" fillId="3" borderId="0" xfId="7"/>
    <xf numFmtId="0" fontId="8" fillId="4" borderId="0" xfId="8"/>
    <xf numFmtId="0" fontId="0" fillId="0" borderId="0" xfId="0" applyNumberFormat="1"/>
    <xf numFmtId="0" fontId="6" fillId="2" borderId="11" xfId="6" applyFont="1" applyFill="1" applyBorder="1"/>
    <xf numFmtId="0" fontId="7" fillId="3" borderId="11" xfId="7" applyFont="1" applyFill="1" applyBorder="1"/>
    <xf numFmtId="0" fontId="8" fillId="4" borderId="11" xfId="8" applyFont="1" applyFill="1" applyBorder="1"/>
    <xf numFmtId="0" fontId="16" fillId="0" borderId="0" xfId="0" applyFont="1"/>
    <xf numFmtId="0" fontId="8" fillId="4" borderId="14" xfId="8" applyFont="1" applyFill="1" applyBorder="1"/>
    <xf numFmtId="0" fontId="13" fillId="33" borderId="13" xfId="0" applyFont="1" applyFill="1" applyBorder="1"/>
    <xf numFmtId="0" fontId="8" fillId="4" borderId="11" xfId="8" applyBorder="1"/>
    <xf numFmtId="0" fontId="6" fillId="2" borderId="11" xfId="6" applyBorder="1"/>
    <xf numFmtId="0" fontId="8" fillId="4" borderId="14" xfId="8" applyBorder="1"/>
    <xf numFmtId="0" fontId="13" fillId="33" borderId="15" xfId="0" applyFont="1" applyFill="1" applyBorder="1"/>
    <xf numFmtId="0" fontId="13" fillId="33" borderId="16" xfId="0" applyFont="1" applyFill="1" applyBorder="1"/>
    <xf numFmtId="0" fontId="0" fillId="0" borderId="0" xfId="0" applyFill="1"/>
    <xf numFmtId="0" fontId="7" fillId="0" borderId="0" xfId="7" applyFill="1"/>
    <xf numFmtId="0" fontId="6" fillId="0" borderId="0" xfId="6" applyFill="1"/>
    <xf numFmtId="0" fontId="7" fillId="3" borderId="14" xfId="7" applyFont="1" applyFill="1" applyBorder="1"/>
    <xf numFmtId="0" fontId="6" fillId="2" borderId="10" xfId="6" applyBorder="1"/>
    <xf numFmtId="0" fontId="8" fillId="4" borderId="0" xfId="8" applyFont="1" applyFill="1" applyBorder="1"/>
    <xf numFmtId="0" fontId="6" fillId="2" borderId="12" xfId="6" applyBorder="1"/>
    <xf numFmtId="0" fontId="7" fillId="3" borderId="11" xfId="7" applyBorder="1"/>
    <xf numFmtId="0" fontId="8" fillId="4" borderId="10" xfId="8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2"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G1109" totalsRowShown="0" dataCellStyle="Good">
  <sortState ref="A2:G1109">
    <sortCondition descending="1" sortBy="cellColor" ref="A2:A1109" dxfId="6"/>
  </sortState>
  <tableColumns count="7">
    <tableColumn id="1" name="ID" dataCellStyle="Good"/>
    <tableColumn id="2" name="Name" dataCellStyle="Good"/>
    <tableColumn id="3" name="Variable" dataCellStyle="Good"/>
    <tableColumn id="4" name="Method" dataCellStyle="Good"/>
    <tableColumn id="5" name="Class" dataCellStyle="Good"/>
    <tableColumn id="6" name="Package" dataCellStyle="Good"/>
    <tableColumn id="7" name="File" dataCellStyle="Goo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Table14" displayName="Table14" ref="A1:H275" totalsRowShown="0" headerRowDxfId="91" dataDxfId="89" headerRowBorderDxfId="90" tableBorderDxfId="88" totalsRowBorderDxfId="87" dataCellStyle="Good">
  <sortState ref="A2:H275">
    <sortCondition sortBy="cellColor" ref="A2:A275" dxfId="5"/>
  </sortState>
  <tableColumns count="8">
    <tableColumn id="1" name="ID" dataDxfId="86" dataCellStyle="Good"/>
    <tableColumn id="2" name="Name" dataDxfId="85" dataCellStyle="Good"/>
    <tableColumn id="3" name="Variable" dataDxfId="84" dataCellStyle="Good"/>
    <tableColumn id="4" name="Method" dataDxfId="83" dataCellStyle="Good"/>
    <tableColumn id="5" name="Class" dataDxfId="82" dataCellStyle="Good"/>
    <tableColumn id="6" name="Package" dataDxfId="81" dataCellStyle="Good"/>
    <tableColumn id="7" name="File" dataDxfId="80" dataCellStyle="Good"/>
    <tableColumn id="8" name="Notes" dataDxfId="79" dataCellStyle="Good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Table12" ref="A1:H17" totalsRowShown="0" headerRowDxfId="78" dataDxfId="76" headerRowBorderDxfId="77" tableBorderDxfId="75" totalsRowBorderDxfId="74" dataCellStyle="Good">
  <sortState ref="A2:H17">
    <sortCondition sortBy="cellColor" ref="A2:A17" dxfId="4"/>
  </sortState>
  <tableColumns count="8">
    <tableColumn id="1" name="ID" dataDxfId="73" dataCellStyle="Good"/>
    <tableColumn id="2" name="Name" dataDxfId="72" dataCellStyle="Good"/>
    <tableColumn id="3" name="Variable" dataDxfId="71" dataCellStyle="Good"/>
    <tableColumn id="4" name="Method" dataDxfId="70" dataCellStyle="Good"/>
    <tableColumn id="5" name="Class" dataDxfId="69" dataCellStyle="Good"/>
    <tableColumn id="6" name="Package" dataDxfId="68" dataCellStyle="Good"/>
    <tableColumn id="7" name="File" dataDxfId="67" dataCellStyle="Good"/>
    <tableColumn id="8" name="Notes" dataDxfId="66" dataCellStyle="Good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0" name="Table10" displayName="Table10" ref="A1:G70" totalsRowShown="0" headerRowDxfId="65" dataDxfId="63" headerRowBorderDxfId="64" tableBorderDxfId="62" totalsRowBorderDxfId="61" dataCellStyle="Neutral">
  <sortState ref="A2:H70">
    <sortCondition sortBy="cellColor" ref="A2:A70" dxfId="3"/>
  </sortState>
  <tableColumns count="7">
    <tableColumn id="1" name="ID" dataDxfId="60" dataCellStyle="Neutral"/>
    <tableColumn id="2" name="Name" dataDxfId="59" dataCellStyle="Neutral"/>
    <tableColumn id="3" name="Variable" dataDxfId="58" dataCellStyle="Neutral"/>
    <tableColumn id="4" name="Method" dataDxfId="57" dataCellStyle="Neutral"/>
    <tableColumn id="5" name="Class" dataDxfId="56" dataCellStyle="Neutral"/>
    <tableColumn id="6" name="Package" dataDxfId="55" dataCellStyle="Neutral"/>
    <tableColumn id="7" name="File" dataDxfId="54" dataCellStyle="Neutral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1:G52" totalsRowShown="0" headerRowDxfId="53" dataDxfId="51" headerRowBorderDxfId="52" tableBorderDxfId="50" totalsRowBorderDxfId="49" dataCellStyle="Neutral">
  <sortState ref="A2:H52">
    <sortCondition sortBy="cellColor" ref="A2:A52" dxfId="2"/>
  </sortState>
  <tableColumns count="7">
    <tableColumn id="1" name="ID" dataDxfId="48" dataCellStyle="Neutral"/>
    <tableColumn id="2" name="Name" dataDxfId="47" dataCellStyle="Neutral"/>
    <tableColumn id="3" name="Variable" dataDxfId="46" dataCellStyle="Neutral"/>
    <tableColumn id="4" name="Method" dataDxfId="45" dataCellStyle="Neutral"/>
    <tableColumn id="5" name="Class" dataDxfId="44" dataCellStyle="Neutral"/>
    <tableColumn id="6" name="Package" dataDxfId="43" dataCellStyle="Neutral"/>
    <tableColumn id="7" name="File" dataDxfId="42" dataCellStyle="Neutral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16" name="Table16" displayName="Table16" ref="A1:H9" totalsRowShown="0" headerRowDxfId="7" headerRowBorderDxfId="8" tableBorderDxfId="9" dataCellStyle="Good">
  <sortState ref="A2:H9">
    <sortCondition sortBy="cellColor" ref="A2:A9" dxfId="1"/>
  </sortState>
  <tableColumns count="8">
    <tableColumn id="1" name="ID" dataCellStyle="Good"/>
    <tableColumn id="2" name="Name" dataCellStyle="Good"/>
    <tableColumn id="3" name="Variable" dataCellStyle="Good"/>
    <tableColumn id="4" name="Method" dataCellStyle="Good"/>
    <tableColumn id="5" name="Class" dataCellStyle="Good"/>
    <tableColumn id="6" name="Package" dataCellStyle="Good"/>
    <tableColumn id="7" name="File" dataCellStyle="Good"/>
    <tableColumn id="8" name="Notes" dataCellStyle="Good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A1:G12" totalsRowShown="0" headerRowDxfId="41" dataDxfId="39" headerRowBorderDxfId="40" tableBorderDxfId="38" totalsRowBorderDxfId="37" dataCellStyle="Neutral">
  <tableColumns count="7">
    <tableColumn id="1" name="ID" dataDxfId="36" dataCellStyle="Neutral"/>
    <tableColumn id="2" name="Name" dataDxfId="35" dataCellStyle="Neutral"/>
    <tableColumn id="3" name="Variable" dataDxfId="34" dataCellStyle="Neutral"/>
    <tableColumn id="4" name="Method" dataDxfId="33" dataCellStyle="Neutral"/>
    <tableColumn id="5" name="Class" dataDxfId="32" dataCellStyle="Neutral"/>
    <tableColumn id="6" name="Package" dataDxfId="31" dataCellStyle="Neutral"/>
    <tableColumn id="7" name="File" dataDxfId="30" dataCellStyle="Neutral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4" name="Table4" displayName="Table4" ref="A1:G673" totalsRowShown="0" headerRowDxfId="29" dataDxfId="27" headerRowBorderDxfId="28" tableBorderDxfId="26" totalsRowBorderDxfId="25" dataCellStyle="Neutral">
  <sortState ref="A2:H673">
    <sortCondition sortBy="cellColor" ref="A2:A673" dxfId="0"/>
  </sortState>
  <tableColumns count="7">
    <tableColumn id="1" name="ID" dataDxfId="24" dataCellStyle="Neutral"/>
    <tableColumn id="2" name="Name" dataDxfId="23" dataCellStyle="Neutral"/>
    <tableColumn id="3" name="Variable" dataDxfId="22" dataCellStyle="Neutral"/>
    <tableColumn id="4" name="Method" dataDxfId="21" dataCellStyle="Neutral"/>
    <tableColumn id="5" name="Class" dataDxfId="20" dataCellStyle="Neutral"/>
    <tableColumn id="6" name="Package" dataDxfId="19" dataCellStyle="Neutral"/>
    <tableColumn id="7" name="File" dataDxfId="18" dataCellStyle="Neutral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2" name="Table2" displayName="Table2" ref="A2:B10" totalsRowShown="0">
  <autoFilter ref="A2:B10"/>
  <tableColumns count="2">
    <tableColumn id="1" name="Status"/>
    <tableColumn id="2" name="Count" dataDxfId="17">
      <calculatedColumnFormula>CountByColor(Table2[[#This Row],[Status]], B$3:B$1011)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able26" displayName="Table26" ref="E2:F10" totalsRowShown="0">
  <autoFilter ref="E2:F10"/>
  <tableColumns count="2">
    <tableColumn id="1" name="Status"/>
    <tableColumn id="2" name="Count" dataDxfId="16">
      <calculatedColumnFormula>CountByColor(Table26[[#This Row],[Status]], F$3:F$1011)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Table268" displayName="Table268" ref="I2:J10" totalsRowShown="0">
  <autoFilter ref="I2:J10"/>
  <tableColumns count="2">
    <tableColumn id="1" name="Status"/>
    <tableColumn id="2" name="Count" dataDxfId="15">
      <calculatedColumnFormula>CountByColor(Table268[[#This Row],[Status]], J$3:J$1011)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9" name="Table26810" displayName="Table26810" ref="M2:N10" totalsRowShown="0">
  <autoFilter ref="M2:N10"/>
  <tableColumns count="2">
    <tableColumn id="1" name="Status"/>
    <tableColumn id="2" name="Count" dataDxfId="14">
      <calculatedColumnFormula>CountByColor(Table26810[[#This Row],[Status]], N$3:N$1011)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Table2681012" displayName="Table2681012" ref="Q2:R10" totalsRowShown="0">
  <autoFilter ref="Q2:R10"/>
  <tableColumns count="2">
    <tableColumn id="1" name="Status"/>
    <tableColumn id="2" name="Count" dataDxfId="13">
      <calculatedColumnFormula>CountByColor(Table2681012[[#This Row],[Status]], R$3:R$1011)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Table268101214" displayName="Table268101214" ref="A15:B23" totalsRowShown="0">
  <autoFilter ref="A15:B23"/>
  <tableColumns count="2">
    <tableColumn id="1" name="Status"/>
    <tableColumn id="2" name="Count" dataDxfId="12">
      <calculatedColumnFormula>CountByColor(Table268101214[[#This Row],[Status]], B$3:B$1011)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26810121416" displayName="Table26810121416" ref="E15:F23" totalsRowShown="0">
  <autoFilter ref="E15:F23"/>
  <tableColumns count="2">
    <tableColumn id="1" name="Status"/>
    <tableColumn id="2" name="Count" dataDxfId="11">
      <calculatedColumnFormula>CountByColor(Table26810121416[[#This Row],[Status]], F$3:F$1011)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" name="Table268101214164" displayName="Table268101214164" ref="I15:J23" totalsRowShown="0">
  <autoFilter ref="I15:J23"/>
  <tableColumns count="2">
    <tableColumn id="1" name="Status"/>
    <tableColumn id="2" name="Count" dataDxfId="10">
      <calculatedColumnFormula>CountByColor(Table268101214164[[#This Row],[Status]], J$3:J$1011)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109"/>
  <sheetViews>
    <sheetView topLeftCell="A1065" workbookViewId="0">
      <selection activeCell="G1082" sqref="G1082"/>
    </sheetView>
  </sheetViews>
  <sheetFormatPr defaultRowHeight="15"/>
  <cols>
    <col min="2" max="2" width="19.7109375" bestFit="1" customWidth="1"/>
    <col min="3" max="3" width="21.140625" bestFit="1" customWidth="1"/>
    <col min="4" max="4" width="10.28515625" customWidth="1"/>
    <col min="6" max="6" width="10.28515625" customWidth="1"/>
    <col min="8" max="26" width="9.140625" style="16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1" t="s">
        <v>7</v>
      </c>
      <c r="B2" s="1" t="s">
        <v>22</v>
      </c>
      <c r="C2" s="1" t="s">
        <v>23</v>
      </c>
      <c r="D2" s="1" t="s">
        <v>24</v>
      </c>
      <c r="E2" s="1"/>
      <c r="F2" s="1"/>
      <c r="G2" s="1" t="s">
        <v>3040</v>
      </c>
    </row>
    <row r="3" spans="1:7">
      <c r="A3" s="1" t="s">
        <v>9</v>
      </c>
      <c r="B3" s="1" t="s">
        <v>22</v>
      </c>
      <c r="C3" s="1" t="s">
        <v>25</v>
      </c>
      <c r="D3" s="1" t="s">
        <v>26</v>
      </c>
      <c r="E3" s="1"/>
      <c r="F3" s="1"/>
      <c r="G3" s="1" t="s">
        <v>3040</v>
      </c>
    </row>
    <row r="4" spans="1:7">
      <c r="A4" s="1" t="s">
        <v>10</v>
      </c>
      <c r="B4" s="1" t="s">
        <v>27</v>
      </c>
      <c r="C4" s="1" t="s">
        <v>23</v>
      </c>
      <c r="D4" s="1" t="s">
        <v>24</v>
      </c>
      <c r="E4" s="1"/>
      <c r="F4" s="1"/>
      <c r="G4" s="1" t="s">
        <v>3040</v>
      </c>
    </row>
    <row r="5" spans="1:7">
      <c r="A5" s="1" t="s">
        <v>12</v>
      </c>
      <c r="B5" s="1" t="s">
        <v>27</v>
      </c>
      <c r="C5" s="1" t="s">
        <v>25</v>
      </c>
      <c r="D5" s="1" t="s">
        <v>26</v>
      </c>
      <c r="E5" s="1"/>
      <c r="F5" s="1"/>
      <c r="G5" s="1" t="s">
        <v>3040</v>
      </c>
    </row>
    <row r="6" spans="1:7">
      <c r="A6" s="1" t="s">
        <v>28</v>
      </c>
      <c r="B6" s="1" t="s">
        <v>29</v>
      </c>
      <c r="C6" s="1"/>
      <c r="D6" s="1" t="s">
        <v>30</v>
      </c>
      <c r="E6" s="1" t="s">
        <v>31</v>
      </c>
      <c r="F6" s="1" t="s">
        <v>32</v>
      </c>
      <c r="G6" s="1" t="s">
        <v>2721</v>
      </c>
    </row>
    <row r="7" spans="1:7">
      <c r="A7" s="1" t="s">
        <v>34</v>
      </c>
      <c r="B7" s="1" t="s">
        <v>29</v>
      </c>
      <c r="C7" s="1"/>
      <c r="D7" s="1" t="s">
        <v>35</v>
      </c>
      <c r="E7" s="1" t="s">
        <v>36</v>
      </c>
      <c r="F7" s="1" t="s">
        <v>32</v>
      </c>
      <c r="G7" s="1" t="s">
        <v>2731</v>
      </c>
    </row>
    <row r="8" spans="1:7">
      <c r="A8" s="1" t="s">
        <v>38</v>
      </c>
      <c r="B8" s="1" t="s">
        <v>29</v>
      </c>
      <c r="C8" s="1"/>
      <c r="D8" s="1" t="s">
        <v>39</v>
      </c>
      <c r="E8" s="1" t="s">
        <v>36</v>
      </c>
      <c r="F8" s="1" t="s">
        <v>32</v>
      </c>
      <c r="G8" s="1" t="s">
        <v>2731</v>
      </c>
    </row>
    <row r="9" spans="1:7">
      <c r="A9" s="1" t="s">
        <v>40</v>
      </c>
      <c r="B9" s="1" t="s">
        <v>29</v>
      </c>
      <c r="C9" s="1"/>
      <c r="D9" s="1" t="s">
        <v>45</v>
      </c>
      <c r="E9" s="1" t="s">
        <v>42</v>
      </c>
      <c r="F9" s="1" t="s">
        <v>32</v>
      </c>
      <c r="G9" s="1" t="s">
        <v>2716</v>
      </c>
    </row>
    <row r="10" spans="1:7">
      <c r="A10" s="1" t="s">
        <v>44</v>
      </c>
      <c r="B10" s="1" t="s">
        <v>29</v>
      </c>
      <c r="C10" s="1"/>
      <c r="D10" s="1" t="s">
        <v>47</v>
      </c>
      <c r="E10" s="1" t="s">
        <v>48</v>
      </c>
      <c r="F10" s="1" t="s">
        <v>32</v>
      </c>
      <c r="G10" s="1" t="s">
        <v>2728</v>
      </c>
    </row>
    <row r="11" spans="1:7">
      <c r="A11" s="1" t="s">
        <v>46</v>
      </c>
      <c r="B11" s="1" t="s">
        <v>29</v>
      </c>
      <c r="C11" s="1"/>
      <c r="D11" s="1" t="s">
        <v>51</v>
      </c>
      <c r="E11" s="1" t="s">
        <v>42</v>
      </c>
      <c r="F11" s="1" t="s">
        <v>32</v>
      </c>
      <c r="G11" s="1" t="s">
        <v>2716</v>
      </c>
    </row>
    <row r="12" spans="1:7">
      <c r="A12" s="1" t="s">
        <v>50</v>
      </c>
      <c r="B12" s="1" t="s">
        <v>29</v>
      </c>
      <c r="C12" s="1"/>
      <c r="D12" s="1" t="s">
        <v>53</v>
      </c>
      <c r="E12" s="1" t="s">
        <v>42</v>
      </c>
      <c r="F12" s="1" t="s">
        <v>32</v>
      </c>
      <c r="G12" s="1" t="s">
        <v>2716</v>
      </c>
    </row>
    <row r="13" spans="1:7">
      <c r="A13" s="1" t="s">
        <v>52</v>
      </c>
      <c r="B13" s="1" t="s">
        <v>29</v>
      </c>
      <c r="C13" s="1"/>
      <c r="D13" s="1" t="s">
        <v>55</v>
      </c>
      <c r="E13" s="1" t="s">
        <v>31</v>
      </c>
      <c r="F13" s="1" t="s">
        <v>32</v>
      </c>
      <c r="G13" s="1" t="s">
        <v>2721</v>
      </c>
    </row>
    <row r="14" spans="1:7">
      <c r="A14" s="1" t="s">
        <v>54</v>
      </c>
      <c r="B14" s="1" t="s">
        <v>29</v>
      </c>
      <c r="C14" s="1"/>
      <c r="D14" s="1" t="s">
        <v>57</v>
      </c>
      <c r="E14" s="1" t="s">
        <v>42</v>
      </c>
      <c r="F14" s="1" t="s">
        <v>32</v>
      </c>
      <c r="G14" s="1" t="s">
        <v>2716</v>
      </c>
    </row>
    <row r="15" spans="1:7">
      <c r="A15" s="1" t="s">
        <v>56</v>
      </c>
      <c r="B15" s="1" t="s">
        <v>29</v>
      </c>
      <c r="C15" s="1"/>
      <c r="D15" s="1" t="s">
        <v>59</v>
      </c>
      <c r="E15" s="1" t="s">
        <v>36</v>
      </c>
      <c r="F15" s="1" t="s">
        <v>32</v>
      </c>
      <c r="G15" s="1" t="s">
        <v>2731</v>
      </c>
    </row>
    <row r="16" spans="1:7">
      <c r="A16" s="1" t="s">
        <v>58</v>
      </c>
      <c r="B16" s="1" t="s">
        <v>29</v>
      </c>
      <c r="C16" s="1"/>
      <c r="D16" s="1" t="s">
        <v>61</v>
      </c>
      <c r="E16" s="1" t="s">
        <v>42</v>
      </c>
      <c r="F16" s="1" t="s">
        <v>32</v>
      </c>
      <c r="G16" s="1" t="s">
        <v>2716</v>
      </c>
    </row>
    <row r="17" spans="1:26">
      <c r="A17" s="1" t="s">
        <v>60</v>
      </c>
      <c r="B17" s="1" t="s">
        <v>29</v>
      </c>
      <c r="C17" s="1"/>
      <c r="D17" s="1" t="s">
        <v>65</v>
      </c>
      <c r="E17" s="1" t="s">
        <v>66</v>
      </c>
      <c r="F17" s="1" t="s">
        <v>32</v>
      </c>
      <c r="G17" s="1" t="s">
        <v>2719</v>
      </c>
    </row>
    <row r="18" spans="1:26" s="2" customFormat="1">
      <c r="A18" s="1" t="s">
        <v>62</v>
      </c>
      <c r="B18" s="1" t="s">
        <v>29</v>
      </c>
      <c r="C18" s="1"/>
      <c r="D18" s="1" t="s">
        <v>69</v>
      </c>
      <c r="E18" s="1" t="s">
        <v>42</v>
      </c>
      <c r="F18" s="1" t="s">
        <v>32</v>
      </c>
      <c r="G18" s="1" t="s">
        <v>2716</v>
      </c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>
      <c r="A19" s="1" t="s">
        <v>64</v>
      </c>
      <c r="B19" s="1" t="s">
        <v>29</v>
      </c>
      <c r="C19" s="1"/>
      <c r="D19" s="1" t="s">
        <v>71</v>
      </c>
      <c r="E19" s="1" t="s">
        <v>42</v>
      </c>
      <c r="F19" s="1" t="s">
        <v>32</v>
      </c>
      <c r="G19" s="1" t="s">
        <v>2716</v>
      </c>
    </row>
    <row r="20" spans="1:26">
      <c r="A20" s="1" t="s">
        <v>68</v>
      </c>
      <c r="B20" s="1" t="s">
        <v>73</v>
      </c>
      <c r="C20" s="1" t="s">
        <v>74</v>
      </c>
      <c r="D20" s="1" t="s">
        <v>8</v>
      </c>
      <c r="E20" s="1" t="s">
        <v>42</v>
      </c>
      <c r="F20" s="1" t="s">
        <v>32</v>
      </c>
      <c r="G20" s="1" t="s">
        <v>2716</v>
      </c>
    </row>
    <row r="21" spans="1:26">
      <c r="A21" s="1" t="s">
        <v>70</v>
      </c>
      <c r="B21" s="1" t="s">
        <v>11</v>
      </c>
      <c r="C21" s="1" t="s">
        <v>76</v>
      </c>
      <c r="D21" s="1" t="s">
        <v>8</v>
      </c>
      <c r="E21" s="1" t="s">
        <v>77</v>
      </c>
      <c r="F21" s="1" t="s">
        <v>32</v>
      </c>
      <c r="G21" s="1" t="s">
        <v>2717</v>
      </c>
    </row>
    <row r="22" spans="1:26">
      <c r="A22" s="1" t="s">
        <v>72</v>
      </c>
      <c r="B22" s="1" t="s">
        <v>11</v>
      </c>
      <c r="C22" s="1" t="s">
        <v>79</v>
      </c>
      <c r="D22" s="1" t="s">
        <v>8</v>
      </c>
      <c r="E22" s="1" t="s">
        <v>77</v>
      </c>
      <c r="F22" s="1" t="s">
        <v>32</v>
      </c>
      <c r="G22" s="1" t="s">
        <v>2717</v>
      </c>
    </row>
    <row r="23" spans="1:26">
      <c r="A23" s="1" t="s">
        <v>75</v>
      </c>
      <c r="B23" s="1" t="s">
        <v>81</v>
      </c>
      <c r="C23" s="1" t="s">
        <v>82</v>
      </c>
      <c r="D23" s="1" t="s">
        <v>83</v>
      </c>
      <c r="E23" s="1"/>
      <c r="F23" s="1" t="s">
        <v>84</v>
      </c>
      <c r="G23" s="1" t="s">
        <v>3041</v>
      </c>
    </row>
    <row r="24" spans="1:26">
      <c r="A24" s="1" t="s">
        <v>78</v>
      </c>
      <c r="B24" s="1" t="s">
        <v>81</v>
      </c>
      <c r="C24" s="1" t="s">
        <v>88</v>
      </c>
      <c r="D24" s="1" t="s">
        <v>89</v>
      </c>
      <c r="E24" s="1" t="s">
        <v>90</v>
      </c>
      <c r="F24" s="1" t="s">
        <v>84</v>
      </c>
      <c r="G24" s="1" t="s">
        <v>3042</v>
      </c>
    </row>
    <row r="25" spans="1:26">
      <c r="A25" s="1" t="s">
        <v>80</v>
      </c>
      <c r="B25" s="1" t="s">
        <v>81</v>
      </c>
      <c r="C25" s="1" t="s">
        <v>94</v>
      </c>
      <c r="D25" s="1" t="s">
        <v>95</v>
      </c>
      <c r="E25" s="1" t="s">
        <v>96</v>
      </c>
      <c r="F25" s="1" t="s">
        <v>84</v>
      </c>
      <c r="G25" s="1" t="s">
        <v>3043</v>
      </c>
    </row>
    <row r="26" spans="1:26">
      <c r="A26" s="1" t="s">
        <v>87</v>
      </c>
      <c r="B26" s="1" t="s">
        <v>81</v>
      </c>
      <c r="C26" s="1" t="s">
        <v>100</v>
      </c>
      <c r="D26" s="1" t="s">
        <v>101</v>
      </c>
      <c r="E26" s="1"/>
      <c r="F26" s="1" t="s">
        <v>84</v>
      </c>
      <c r="G26" s="1" t="s">
        <v>3044</v>
      </c>
    </row>
    <row r="27" spans="1:26">
      <c r="A27" s="1" t="s">
        <v>93</v>
      </c>
      <c r="B27" s="1" t="s">
        <v>81</v>
      </c>
      <c r="C27" s="1" t="s">
        <v>105</v>
      </c>
      <c r="D27" s="1" t="s">
        <v>106</v>
      </c>
      <c r="E27" s="1" t="s">
        <v>107</v>
      </c>
      <c r="F27" s="1" t="s">
        <v>32</v>
      </c>
      <c r="G27" s="1" t="s">
        <v>3045</v>
      </c>
    </row>
    <row r="28" spans="1:26">
      <c r="A28" s="1" t="s">
        <v>99</v>
      </c>
      <c r="B28" s="1" t="s">
        <v>81</v>
      </c>
      <c r="C28" s="1" t="s">
        <v>111</v>
      </c>
      <c r="D28" s="1" t="s">
        <v>112</v>
      </c>
      <c r="E28" s="1" t="s">
        <v>113</v>
      </c>
      <c r="F28" s="1" t="s">
        <v>84</v>
      </c>
      <c r="G28" s="1" t="s">
        <v>3046</v>
      </c>
    </row>
    <row r="29" spans="1:26">
      <c r="A29" s="1" t="s">
        <v>104</v>
      </c>
      <c r="B29" s="1" t="s">
        <v>81</v>
      </c>
      <c r="C29" s="1" t="s">
        <v>123</v>
      </c>
      <c r="D29" s="1" t="s">
        <v>124</v>
      </c>
      <c r="E29" s="1"/>
      <c r="F29" s="1" t="s">
        <v>84</v>
      </c>
      <c r="G29" s="1" t="s">
        <v>3047</v>
      </c>
    </row>
    <row r="30" spans="1:26">
      <c r="A30" s="1" t="s">
        <v>110</v>
      </c>
      <c r="B30" s="1" t="s">
        <v>81</v>
      </c>
      <c r="C30" s="1" t="s">
        <v>128</v>
      </c>
      <c r="D30" s="1" t="s">
        <v>129</v>
      </c>
      <c r="E30" s="1"/>
      <c r="F30" s="1" t="s">
        <v>84</v>
      </c>
      <c r="G30" s="1" t="s">
        <v>3048</v>
      </c>
    </row>
    <row r="31" spans="1:26">
      <c r="A31" s="1" t="s">
        <v>116</v>
      </c>
      <c r="B31" s="1" t="s">
        <v>81</v>
      </c>
      <c r="C31" s="1" t="s">
        <v>133</v>
      </c>
      <c r="D31" s="1" t="s">
        <v>134</v>
      </c>
      <c r="E31" s="1" t="s">
        <v>135</v>
      </c>
      <c r="F31" s="1" t="s">
        <v>84</v>
      </c>
      <c r="G31" s="1" t="s">
        <v>3049</v>
      </c>
    </row>
    <row r="32" spans="1:26">
      <c r="A32" s="1" t="s">
        <v>122</v>
      </c>
      <c r="B32" s="1" t="s">
        <v>81</v>
      </c>
      <c r="C32" s="1" t="s">
        <v>139</v>
      </c>
      <c r="D32" s="1" t="s">
        <v>140</v>
      </c>
      <c r="E32" s="1"/>
      <c r="F32" s="1" t="s">
        <v>84</v>
      </c>
      <c r="G32" s="1" t="s">
        <v>3050</v>
      </c>
    </row>
    <row r="33" spans="1:26">
      <c r="A33" s="1" t="s">
        <v>127</v>
      </c>
      <c r="B33" s="1" t="s">
        <v>81</v>
      </c>
      <c r="C33" s="1" t="s">
        <v>88</v>
      </c>
      <c r="D33" s="1" t="s">
        <v>89</v>
      </c>
      <c r="E33" s="1" t="s">
        <v>144</v>
      </c>
      <c r="F33" s="1" t="s">
        <v>84</v>
      </c>
      <c r="G33" s="1" t="s">
        <v>3051</v>
      </c>
    </row>
    <row r="34" spans="1:26">
      <c r="A34" s="1" t="s">
        <v>132</v>
      </c>
      <c r="B34" s="1" t="s">
        <v>81</v>
      </c>
      <c r="C34" s="1" t="s">
        <v>148</v>
      </c>
      <c r="D34" s="1" t="s">
        <v>149</v>
      </c>
      <c r="E34" s="1"/>
      <c r="F34" s="1" t="s">
        <v>84</v>
      </c>
      <c r="G34" s="1" t="s">
        <v>3052</v>
      </c>
    </row>
    <row r="35" spans="1:26">
      <c r="A35" s="1" t="s">
        <v>138</v>
      </c>
      <c r="B35" s="1" t="s">
        <v>81</v>
      </c>
      <c r="C35" s="1" t="s">
        <v>153</v>
      </c>
      <c r="D35" s="1" t="s">
        <v>154</v>
      </c>
      <c r="E35" s="1"/>
      <c r="F35" s="1"/>
      <c r="G35" s="1" t="s">
        <v>3053</v>
      </c>
    </row>
    <row r="36" spans="1:26">
      <c r="A36" s="1" t="s">
        <v>143</v>
      </c>
      <c r="B36" s="1" t="s">
        <v>81</v>
      </c>
      <c r="C36" s="1" t="s">
        <v>117</v>
      </c>
      <c r="D36" s="1" t="s">
        <v>89</v>
      </c>
      <c r="E36" s="1" t="s">
        <v>158</v>
      </c>
      <c r="F36" s="1" t="s">
        <v>84</v>
      </c>
      <c r="G36" s="1" t="s">
        <v>3042</v>
      </c>
    </row>
    <row r="37" spans="1:26">
      <c r="A37" s="1" t="s">
        <v>147</v>
      </c>
      <c r="B37" s="1" t="s">
        <v>81</v>
      </c>
      <c r="C37" s="1" t="s">
        <v>160</v>
      </c>
      <c r="D37" s="1" t="s">
        <v>161</v>
      </c>
      <c r="E37" s="1"/>
      <c r="F37" s="1" t="s">
        <v>84</v>
      </c>
      <c r="G37" s="1" t="s">
        <v>3054</v>
      </c>
    </row>
    <row r="38" spans="1:26">
      <c r="A38" s="1" t="s">
        <v>152</v>
      </c>
      <c r="B38" s="1" t="s">
        <v>81</v>
      </c>
      <c r="C38" s="1" t="s">
        <v>170</v>
      </c>
      <c r="D38" s="1" t="s">
        <v>171</v>
      </c>
      <c r="E38" s="1"/>
      <c r="F38" s="1" t="s">
        <v>84</v>
      </c>
      <c r="G38" s="1" t="s">
        <v>3055</v>
      </c>
    </row>
    <row r="39" spans="1:26">
      <c r="A39" s="1" t="s">
        <v>157</v>
      </c>
      <c r="B39" s="1" t="s">
        <v>81</v>
      </c>
      <c r="C39" s="1" t="s">
        <v>175</v>
      </c>
      <c r="D39" s="1" t="s">
        <v>89</v>
      </c>
      <c r="E39" s="1" t="s">
        <v>176</v>
      </c>
      <c r="F39" s="1"/>
      <c r="G39" s="1" t="s">
        <v>3056</v>
      </c>
    </row>
    <row r="40" spans="1:26">
      <c r="A40" s="1" t="s">
        <v>159</v>
      </c>
      <c r="B40" s="1" t="s">
        <v>81</v>
      </c>
      <c r="C40" s="1" t="s">
        <v>153</v>
      </c>
      <c r="D40" s="1" t="s">
        <v>180</v>
      </c>
      <c r="E40" s="1"/>
      <c r="F40" s="1"/>
      <c r="G40" s="1" t="s">
        <v>3053</v>
      </c>
    </row>
    <row r="41" spans="1:26" s="2" customFormat="1">
      <c r="A41" s="1" t="s">
        <v>164</v>
      </c>
      <c r="B41" s="1" t="s">
        <v>81</v>
      </c>
      <c r="C41" s="1" t="s">
        <v>111</v>
      </c>
      <c r="D41" s="1" t="s">
        <v>182</v>
      </c>
      <c r="E41" s="1" t="s">
        <v>183</v>
      </c>
      <c r="F41" s="1" t="s">
        <v>84</v>
      </c>
      <c r="G41" s="1" t="s">
        <v>3057</v>
      </c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>
      <c r="A42" s="1" t="s">
        <v>169</v>
      </c>
      <c r="B42" s="1" t="s">
        <v>81</v>
      </c>
      <c r="C42" s="1" t="s">
        <v>82</v>
      </c>
      <c r="D42" s="1" t="s">
        <v>187</v>
      </c>
      <c r="E42" s="1"/>
      <c r="F42" s="1" t="s">
        <v>84</v>
      </c>
      <c r="G42" s="1" t="s">
        <v>3041</v>
      </c>
    </row>
    <row r="43" spans="1:26">
      <c r="A43" s="1" t="s">
        <v>174</v>
      </c>
      <c r="B43" s="1" t="s">
        <v>81</v>
      </c>
      <c r="C43" s="1" t="s">
        <v>82</v>
      </c>
      <c r="D43" s="1" t="s">
        <v>189</v>
      </c>
      <c r="E43" s="1"/>
      <c r="F43" s="1" t="s">
        <v>84</v>
      </c>
      <c r="G43" s="1" t="s">
        <v>3041</v>
      </c>
    </row>
    <row r="44" spans="1:26">
      <c r="A44" s="1" t="s">
        <v>179</v>
      </c>
      <c r="B44" s="1" t="s">
        <v>81</v>
      </c>
      <c r="C44" s="1" t="s">
        <v>175</v>
      </c>
      <c r="D44" s="1" t="s">
        <v>89</v>
      </c>
      <c r="E44" s="1" t="s">
        <v>191</v>
      </c>
      <c r="F44" s="1" t="s">
        <v>84</v>
      </c>
      <c r="G44" s="1" t="s">
        <v>3042</v>
      </c>
    </row>
    <row r="45" spans="1:26">
      <c r="A45" s="1" t="s">
        <v>181</v>
      </c>
      <c r="B45" s="1" t="s">
        <v>81</v>
      </c>
      <c r="C45" s="1" t="s">
        <v>193</v>
      </c>
      <c r="D45" s="1" t="s">
        <v>194</v>
      </c>
      <c r="E45" s="1"/>
      <c r="F45" s="1"/>
      <c r="G45" s="1" t="s">
        <v>3053</v>
      </c>
    </row>
    <row r="46" spans="1:26">
      <c r="A46" s="1" t="s">
        <v>186</v>
      </c>
      <c r="B46" s="1" t="s">
        <v>81</v>
      </c>
      <c r="C46" s="1" t="s">
        <v>94</v>
      </c>
      <c r="D46" s="1" t="s">
        <v>196</v>
      </c>
      <c r="E46" s="1" t="s">
        <v>197</v>
      </c>
      <c r="F46" s="1" t="s">
        <v>32</v>
      </c>
      <c r="G46" s="1" t="s">
        <v>3058</v>
      </c>
    </row>
    <row r="47" spans="1:26">
      <c r="A47" s="1" t="s">
        <v>188</v>
      </c>
      <c r="B47" s="1" t="s">
        <v>81</v>
      </c>
      <c r="C47" s="1" t="s">
        <v>201</v>
      </c>
      <c r="D47" s="1" t="s">
        <v>202</v>
      </c>
      <c r="E47" s="1"/>
      <c r="F47" s="1" t="s">
        <v>84</v>
      </c>
      <c r="G47" s="1" t="s">
        <v>3059</v>
      </c>
    </row>
    <row r="48" spans="1:26">
      <c r="A48" s="1" t="s">
        <v>190</v>
      </c>
      <c r="B48" s="1" t="s">
        <v>81</v>
      </c>
      <c r="C48" s="1" t="s">
        <v>128</v>
      </c>
      <c r="D48" s="1" t="s">
        <v>206</v>
      </c>
      <c r="E48" s="1" t="s">
        <v>207</v>
      </c>
      <c r="F48" s="1" t="s">
        <v>84</v>
      </c>
      <c r="G48" s="1" t="s">
        <v>3060</v>
      </c>
    </row>
    <row r="49" spans="1:26">
      <c r="A49" s="1" t="s">
        <v>192</v>
      </c>
      <c r="B49" s="1" t="s">
        <v>81</v>
      </c>
      <c r="C49" s="1" t="s">
        <v>211</v>
      </c>
      <c r="D49" s="1" t="s">
        <v>212</v>
      </c>
      <c r="E49" s="1"/>
      <c r="F49" s="1" t="s">
        <v>84</v>
      </c>
      <c r="G49" s="1" t="s">
        <v>3061</v>
      </c>
    </row>
    <row r="50" spans="1:26">
      <c r="A50" s="1" t="s">
        <v>195</v>
      </c>
      <c r="B50" s="1" t="s">
        <v>81</v>
      </c>
      <c r="C50" s="1" t="s">
        <v>216</v>
      </c>
      <c r="D50" s="1" t="s">
        <v>217</v>
      </c>
      <c r="E50" s="1" t="s">
        <v>218</v>
      </c>
      <c r="F50" s="1" t="s">
        <v>219</v>
      </c>
      <c r="G50" s="1" t="s">
        <v>2718</v>
      </c>
    </row>
    <row r="51" spans="1:26">
      <c r="A51" s="1" t="s">
        <v>200</v>
      </c>
      <c r="B51" s="1" t="s">
        <v>81</v>
      </c>
      <c r="C51" s="1" t="s">
        <v>82</v>
      </c>
      <c r="D51" s="1" t="s">
        <v>226</v>
      </c>
      <c r="E51" s="1"/>
      <c r="F51" s="1" t="s">
        <v>84</v>
      </c>
      <c r="G51" s="1" t="s">
        <v>3041</v>
      </c>
    </row>
    <row r="52" spans="1:26">
      <c r="A52" s="1" t="s">
        <v>205</v>
      </c>
      <c r="B52" s="1" t="s">
        <v>81</v>
      </c>
      <c r="C52" s="1" t="s">
        <v>165</v>
      </c>
      <c r="D52" s="1" t="s">
        <v>228</v>
      </c>
      <c r="E52" s="1"/>
      <c r="F52" s="1" t="s">
        <v>84</v>
      </c>
      <c r="G52" s="1" t="s">
        <v>3044</v>
      </c>
    </row>
    <row r="53" spans="1:26">
      <c r="A53" s="1" t="s">
        <v>210</v>
      </c>
      <c r="B53" s="1" t="s">
        <v>81</v>
      </c>
      <c r="C53" s="1" t="s">
        <v>230</v>
      </c>
      <c r="D53" s="1" t="s">
        <v>231</v>
      </c>
      <c r="E53" s="1"/>
      <c r="F53" s="1" t="s">
        <v>84</v>
      </c>
      <c r="G53" s="1" t="s">
        <v>3062</v>
      </c>
    </row>
    <row r="54" spans="1:26">
      <c r="A54" s="1" t="s">
        <v>215</v>
      </c>
      <c r="B54" s="1" t="s">
        <v>81</v>
      </c>
      <c r="C54" s="1" t="s">
        <v>235</v>
      </c>
      <c r="D54" s="1" t="s">
        <v>236</v>
      </c>
      <c r="E54" s="1"/>
      <c r="F54" s="1"/>
      <c r="G54" s="1" t="s">
        <v>3063</v>
      </c>
    </row>
    <row r="55" spans="1:26">
      <c r="A55" s="1" t="s">
        <v>222</v>
      </c>
      <c r="B55" s="1" t="s">
        <v>81</v>
      </c>
      <c r="C55" s="1" t="s">
        <v>240</v>
      </c>
      <c r="D55" s="1" t="s">
        <v>241</v>
      </c>
      <c r="E55" s="1" t="s">
        <v>242</v>
      </c>
      <c r="F55" s="1" t="s">
        <v>32</v>
      </c>
      <c r="G55" s="1" t="s">
        <v>2730</v>
      </c>
    </row>
    <row r="56" spans="1:26">
      <c r="A56" s="1" t="s">
        <v>225</v>
      </c>
      <c r="B56" s="1" t="s">
        <v>81</v>
      </c>
      <c r="C56" s="1" t="s">
        <v>246</v>
      </c>
      <c r="D56" s="1" t="s">
        <v>247</v>
      </c>
      <c r="E56" s="1" t="s">
        <v>248</v>
      </c>
      <c r="F56" s="1" t="s">
        <v>84</v>
      </c>
      <c r="G56" s="1" t="s">
        <v>3042</v>
      </c>
    </row>
    <row r="57" spans="1:26">
      <c r="A57" s="1" t="s">
        <v>227</v>
      </c>
      <c r="B57" s="1" t="s">
        <v>81</v>
      </c>
      <c r="C57" s="1" t="s">
        <v>82</v>
      </c>
      <c r="D57" s="1" t="s">
        <v>250</v>
      </c>
      <c r="E57" s="1"/>
      <c r="F57" s="1" t="s">
        <v>84</v>
      </c>
      <c r="G57" s="1" t="s">
        <v>3041</v>
      </c>
    </row>
    <row r="58" spans="1:26">
      <c r="A58" s="1" t="s">
        <v>229</v>
      </c>
      <c r="B58" s="1" t="s">
        <v>81</v>
      </c>
      <c r="C58" s="1" t="s">
        <v>252</v>
      </c>
      <c r="D58" s="1" t="s">
        <v>247</v>
      </c>
      <c r="E58" s="1" t="s">
        <v>253</v>
      </c>
      <c r="F58" s="1" t="s">
        <v>84</v>
      </c>
      <c r="G58" s="1" t="s">
        <v>3064</v>
      </c>
    </row>
    <row r="59" spans="1:26">
      <c r="A59" s="1" t="s">
        <v>234</v>
      </c>
      <c r="B59" s="1" t="s">
        <v>81</v>
      </c>
      <c r="C59" s="1" t="s">
        <v>261</v>
      </c>
      <c r="D59" s="1" t="s">
        <v>262</v>
      </c>
      <c r="E59" s="1"/>
      <c r="F59" s="1" t="s">
        <v>84</v>
      </c>
      <c r="G59" s="1" t="s">
        <v>3065</v>
      </c>
    </row>
    <row r="60" spans="1:26">
      <c r="A60" s="1" t="s">
        <v>239</v>
      </c>
      <c r="B60" s="1" t="s">
        <v>81</v>
      </c>
      <c r="C60" s="1" t="s">
        <v>111</v>
      </c>
      <c r="D60" s="1" t="s">
        <v>266</v>
      </c>
      <c r="E60" s="1"/>
      <c r="F60" s="1" t="s">
        <v>84</v>
      </c>
      <c r="G60" s="1" t="s">
        <v>3066</v>
      </c>
    </row>
    <row r="61" spans="1:26">
      <c r="A61" s="1" t="s">
        <v>245</v>
      </c>
      <c r="B61" s="1" t="s">
        <v>81</v>
      </c>
      <c r="C61" s="1" t="s">
        <v>270</v>
      </c>
      <c r="D61" s="1" t="s">
        <v>271</v>
      </c>
      <c r="E61" s="1" t="s">
        <v>272</v>
      </c>
      <c r="F61" s="1" t="s">
        <v>84</v>
      </c>
      <c r="G61" s="1" t="s">
        <v>3067</v>
      </c>
    </row>
    <row r="62" spans="1:26">
      <c r="A62" s="1" t="s">
        <v>249</v>
      </c>
      <c r="B62" s="1" t="s">
        <v>81</v>
      </c>
      <c r="C62" s="1" t="s">
        <v>270</v>
      </c>
      <c r="D62" s="1" t="s">
        <v>271</v>
      </c>
      <c r="E62" s="1" t="s">
        <v>279</v>
      </c>
      <c r="F62" s="1" t="s">
        <v>84</v>
      </c>
      <c r="G62" s="1" t="s">
        <v>3067</v>
      </c>
    </row>
    <row r="63" spans="1:26">
      <c r="A63" s="1" t="s">
        <v>251</v>
      </c>
      <c r="B63" s="1" t="s">
        <v>81</v>
      </c>
      <c r="C63" s="1" t="s">
        <v>281</v>
      </c>
      <c r="D63" s="1" t="s">
        <v>282</v>
      </c>
      <c r="E63" s="1"/>
      <c r="F63" s="1" t="s">
        <v>84</v>
      </c>
      <c r="G63" s="1" t="s">
        <v>3068</v>
      </c>
    </row>
    <row r="64" spans="1:26" s="2" customFormat="1">
      <c r="A64" s="1" t="s">
        <v>256</v>
      </c>
      <c r="B64" s="1" t="s">
        <v>81</v>
      </c>
      <c r="C64" s="1" t="s">
        <v>82</v>
      </c>
      <c r="D64" s="1" t="s">
        <v>286</v>
      </c>
      <c r="E64" s="1"/>
      <c r="F64" s="1" t="s">
        <v>84</v>
      </c>
      <c r="G64" s="1" t="s">
        <v>3041</v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s="2" customFormat="1">
      <c r="A65" s="1" t="s">
        <v>258</v>
      </c>
      <c r="B65" s="1" t="s">
        <v>81</v>
      </c>
      <c r="C65" s="1" t="s">
        <v>165</v>
      </c>
      <c r="D65" s="1" t="s">
        <v>101</v>
      </c>
      <c r="E65" s="1"/>
      <c r="F65" s="1" t="s">
        <v>84</v>
      </c>
      <c r="G65" s="1" t="s">
        <v>3044</v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>
      <c r="A66" s="1" t="s">
        <v>260</v>
      </c>
      <c r="B66" s="1" t="s">
        <v>81</v>
      </c>
      <c r="C66" s="1" t="s">
        <v>289</v>
      </c>
      <c r="D66" s="1" t="s">
        <v>290</v>
      </c>
      <c r="E66" s="1"/>
      <c r="F66" s="1"/>
      <c r="G66" s="1" t="s">
        <v>3053</v>
      </c>
    </row>
    <row r="67" spans="1:26">
      <c r="A67" s="1" t="s">
        <v>265</v>
      </c>
      <c r="B67" s="1" t="s">
        <v>81</v>
      </c>
      <c r="C67" s="1" t="s">
        <v>128</v>
      </c>
      <c r="D67" s="1" t="s">
        <v>262</v>
      </c>
      <c r="E67" s="1" t="s">
        <v>292</v>
      </c>
      <c r="F67" s="1" t="s">
        <v>84</v>
      </c>
      <c r="G67" s="1" t="s">
        <v>3069</v>
      </c>
    </row>
    <row r="68" spans="1:26">
      <c r="A68" s="1" t="s">
        <v>269</v>
      </c>
      <c r="B68" s="1" t="s">
        <v>81</v>
      </c>
      <c r="C68" s="1" t="s">
        <v>88</v>
      </c>
      <c r="D68" s="1" t="s">
        <v>296</v>
      </c>
      <c r="E68" s="1"/>
      <c r="F68" s="1" t="s">
        <v>84</v>
      </c>
      <c r="G68" s="1" t="s">
        <v>3070</v>
      </c>
    </row>
    <row r="69" spans="1:26">
      <c r="A69" s="1" t="s">
        <v>275</v>
      </c>
      <c r="B69" s="1" t="s">
        <v>81</v>
      </c>
      <c r="C69" s="1" t="s">
        <v>128</v>
      </c>
      <c r="D69" s="1" t="s">
        <v>262</v>
      </c>
      <c r="E69" s="1"/>
      <c r="F69" s="1" t="s">
        <v>84</v>
      </c>
      <c r="G69" s="1" t="s">
        <v>3065</v>
      </c>
    </row>
    <row r="70" spans="1:26">
      <c r="A70" s="1" t="s">
        <v>278</v>
      </c>
      <c r="B70" s="1" t="s">
        <v>81</v>
      </c>
      <c r="C70" s="1" t="s">
        <v>301</v>
      </c>
      <c r="D70" s="1" t="s">
        <v>171</v>
      </c>
      <c r="E70" s="1"/>
      <c r="F70" s="1" t="s">
        <v>84</v>
      </c>
      <c r="G70" s="1" t="s">
        <v>3055</v>
      </c>
    </row>
    <row r="71" spans="1:26">
      <c r="A71" s="1" t="s">
        <v>280</v>
      </c>
      <c r="B71" s="1" t="s">
        <v>81</v>
      </c>
      <c r="C71" s="1" t="s">
        <v>303</v>
      </c>
      <c r="D71" s="1" t="s">
        <v>171</v>
      </c>
      <c r="E71" s="1"/>
      <c r="F71" s="1" t="s">
        <v>84</v>
      </c>
      <c r="G71" s="1" t="s">
        <v>3055</v>
      </c>
    </row>
    <row r="72" spans="1:26">
      <c r="A72" s="1" t="s">
        <v>285</v>
      </c>
      <c r="B72" s="1" t="s">
        <v>81</v>
      </c>
      <c r="C72" s="1" t="s">
        <v>305</v>
      </c>
      <c r="D72" s="1" t="s">
        <v>306</v>
      </c>
      <c r="E72" s="1"/>
      <c r="F72" s="1" t="s">
        <v>84</v>
      </c>
      <c r="G72" s="1" t="s">
        <v>3071</v>
      </c>
    </row>
    <row r="73" spans="1:26">
      <c r="A73" s="1" t="s">
        <v>287</v>
      </c>
      <c r="B73" s="1" t="s">
        <v>81</v>
      </c>
      <c r="C73" s="1" t="s">
        <v>310</v>
      </c>
      <c r="D73" s="1" t="s">
        <v>311</v>
      </c>
      <c r="E73" s="1"/>
      <c r="F73" s="1" t="s">
        <v>84</v>
      </c>
      <c r="G73" s="1" t="s">
        <v>3072</v>
      </c>
    </row>
    <row r="74" spans="1:26">
      <c r="A74" s="1" t="s">
        <v>288</v>
      </c>
      <c r="B74" s="1" t="s">
        <v>81</v>
      </c>
      <c r="C74" s="1" t="s">
        <v>117</v>
      </c>
      <c r="D74" s="1" t="s">
        <v>89</v>
      </c>
      <c r="E74" s="1" t="s">
        <v>315</v>
      </c>
      <c r="F74" s="1" t="s">
        <v>84</v>
      </c>
      <c r="G74" s="1" t="s">
        <v>3042</v>
      </c>
    </row>
    <row r="75" spans="1:26">
      <c r="A75" s="1" t="s">
        <v>291</v>
      </c>
      <c r="B75" s="1" t="s">
        <v>81</v>
      </c>
      <c r="C75" s="1" t="s">
        <v>317</v>
      </c>
      <c r="D75" s="1" t="s">
        <v>318</v>
      </c>
      <c r="E75" s="1"/>
      <c r="F75" s="1" t="s">
        <v>84</v>
      </c>
      <c r="G75" s="1" t="s">
        <v>3073</v>
      </c>
    </row>
    <row r="76" spans="1:26">
      <c r="A76" s="1" t="s">
        <v>295</v>
      </c>
      <c r="B76" s="1" t="s">
        <v>81</v>
      </c>
      <c r="C76" s="1" t="s">
        <v>128</v>
      </c>
      <c r="D76" s="1" t="s">
        <v>262</v>
      </c>
      <c r="E76" s="1" t="s">
        <v>322</v>
      </c>
      <c r="F76" s="1" t="s">
        <v>84</v>
      </c>
      <c r="G76" s="1" t="s">
        <v>3074</v>
      </c>
    </row>
    <row r="77" spans="1:26">
      <c r="A77" s="1" t="s">
        <v>299</v>
      </c>
      <c r="B77" s="1" t="s">
        <v>81</v>
      </c>
      <c r="C77" s="1" t="s">
        <v>261</v>
      </c>
      <c r="D77" s="1" t="s">
        <v>262</v>
      </c>
      <c r="E77" s="1" t="s">
        <v>292</v>
      </c>
      <c r="F77" s="1" t="s">
        <v>84</v>
      </c>
      <c r="G77" s="1" t="s">
        <v>3069</v>
      </c>
    </row>
    <row r="78" spans="1:26">
      <c r="A78" s="1" t="s">
        <v>300</v>
      </c>
      <c r="B78" s="1" t="s">
        <v>81</v>
      </c>
      <c r="C78" s="1" t="s">
        <v>327</v>
      </c>
      <c r="D78" s="1" t="s">
        <v>328</v>
      </c>
      <c r="E78" s="1" t="s">
        <v>329</v>
      </c>
      <c r="F78" s="1" t="s">
        <v>84</v>
      </c>
      <c r="G78" s="1" t="s">
        <v>3075</v>
      </c>
    </row>
    <row r="79" spans="1:26">
      <c r="A79" s="1" t="s">
        <v>302</v>
      </c>
      <c r="B79" s="1" t="s">
        <v>81</v>
      </c>
      <c r="C79" s="1" t="s">
        <v>111</v>
      </c>
      <c r="D79" s="1" t="s">
        <v>333</v>
      </c>
      <c r="E79" s="1"/>
      <c r="F79" s="1" t="s">
        <v>84</v>
      </c>
      <c r="G79" s="1" t="s">
        <v>3076</v>
      </c>
    </row>
    <row r="80" spans="1:26">
      <c r="A80" s="1" t="s">
        <v>304</v>
      </c>
      <c r="B80" s="1" t="s">
        <v>81</v>
      </c>
      <c r="C80" s="1" t="s">
        <v>337</v>
      </c>
      <c r="D80" s="1" t="s">
        <v>106</v>
      </c>
      <c r="E80" s="1" t="s">
        <v>107</v>
      </c>
      <c r="F80" s="1" t="s">
        <v>32</v>
      </c>
      <c r="G80" s="1" t="s">
        <v>3045</v>
      </c>
    </row>
    <row r="81" spans="1:7">
      <c r="A81" s="1" t="s">
        <v>309</v>
      </c>
      <c r="B81" s="1" t="s">
        <v>81</v>
      </c>
      <c r="C81" s="1" t="s">
        <v>261</v>
      </c>
      <c r="D81" s="1" t="s">
        <v>262</v>
      </c>
      <c r="E81" s="1" t="s">
        <v>339</v>
      </c>
      <c r="F81" s="1" t="s">
        <v>84</v>
      </c>
      <c r="G81" s="1" t="s">
        <v>3074</v>
      </c>
    </row>
    <row r="82" spans="1:7">
      <c r="A82" s="1" t="s">
        <v>314</v>
      </c>
      <c r="B82" s="1" t="s">
        <v>81</v>
      </c>
      <c r="C82" s="1" t="s">
        <v>128</v>
      </c>
      <c r="D82" s="1" t="s">
        <v>262</v>
      </c>
      <c r="E82" s="1" t="s">
        <v>339</v>
      </c>
      <c r="F82" s="1" t="s">
        <v>84</v>
      </c>
      <c r="G82" s="1" t="s">
        <v>3074</v>
      </c>
    </row>
    <row r="83" spans="1:7">
      <c r="A83" s="1" t="s">
        <v>316</v>
      </c>
      <c r="B83" s="1" t="s">
        <v>81</v>
      </c>
      <c r="C83" s="1" t="s">
        <v>342</v>
      </c>
      <c r="D83" s="1" t="s">
        <v>343</v>
      </c>
      <c r="E83" s="1"/>
      <c r="F83" s="1" t="s">
        <v>84</v>
      </c>
      <c r="G83" s="1" t="s">
        <v>3077</v>
      </c>
    </row>
    <row r="84" spans="1:7">
      <c r="A84" s="1" t="s">
        <v>321</v>
      </c>
      <c r="B84" s="1" t="s">
        <v>81</v>
      </c>
      <c r="C84" s="1" t="s">
        <v>347</v>
      </c>
      <c r="D84" s="1" t="s">
        <v>348</v>
      </c>
      <c r="E84" s="1"/>
      <c r="F84" s="1" t="s">
        <v>84</v>
      </c>
      <c r="G84" s="1" t="s">
        <v>3078</v>
      </c>
    </row>
    <row r="85" spans="1:7">
      <c r="A85" s="1" t="s">
        <v>325</v>
      </c>
      <c r="B85" s="1" t="s">
        <v>81</v>
      </c>
      <c r="C85" s="1" t="s">
        <v>88</v>
      </c>
      <c r="D85" s="1" t="s">
        <v>89</v>
      </c>
      <c r="E85" s="1" t="s">
        <v>176</v>
      </c>
      <c r="F85" s="1"/>
      <c r="G85" s="1" t="s">
        <v>3056</v>
      </c>
    </row>
    <row r="86" spans="1:7">
      <c r="A86" s="1" t="s">
        <v>326</v>
      </c>
      <c r="B86" s="1" t="s">
        <v>81</v>
      </c>
      <c r="C86" s="1" t="s">
        <v>353</v>
      </c>
      <c r="D86" s="1" t="s">
        <v>354</v>
      </c>
      <c r="E86" s="1"/>
      <c r="F86" s="1" t="s">
        <v>84</v>
      </c>
      <c r="G86" s="1" t="s">
        <v>3079</v>
      </c>
    </row>
    <row r="87" spans="1:7">
      <c r="A87" s="1" t="s">
        <v>332</v>
      </c>
      <c r="B87" s="1" t="s">
        <v>81</v>
      </c>
      <c r="C87" s="1" t="s">
        <v>358</v>
      </c>
      <c r="D87" s="1" t="s">
        <v>134</v>
      </c>
      <c r="E87" s="1" t="s">
        <v>135</v>
      </c>
      <c r="F87" s="1" t="s">
        <v>84</v>
      </c>
      <c r="G87" s="1" t="s">
        <v>3049</v>
      </c>
    </row>
    <row r="88" spans="1:7">
      <c r="A88" s="1" t="s">
        <v>336</v>
      </c>
      <c r="B88" s="1" t="s">
        <v>81</v>
      </c>
      <c r="C88" s="1" t="s">
        <v>360</v>
      </c>
      <c r="D88" s="1" t="s">
        <v>361</v>
      </c>
      <c r="E88" s="1" t="s">
        <v>362</v>
      </c>
      <c r="F88" s="1" t="s">
        <v>84</v>
      </c>
      <c r="G88" s="1" t="s">
        <v>3080</v>
      </c>
    </row>
    <row r="89" spans="1:7">
      <c r="A89" s="1" t="s">
        <v>338</v>
      </c>
      <c r="B89" s="1" t="s">
        <v>81</v>
      </c>
      <c r="C89" s="1" t="s">
        <v>366</v>
      </c>
      <c r="D89" s="1" t="s">
        <v>247</v>
      </c>
      <c r="E89" s="1" t="s">
        <v>253</v>
      </c>
      <c r="F89" s="1" t="s">
        <v>84</v>
      </c>
      <c r="G89" s="1" t="s">
        <v>3064</v>
      </c>
    </row>
    <row r="90" spans="1:7">
      <c r="A90" s="1" t="s">
        <v>340</v>
      </c>
      <c r="B90" s="1" t="s">
        <v>81</v>
      </c>
      <c r="C90" s="1" t="s">
        <v>175</v>
      </c>
      <c r="D90" s="1" t="s">
        <v>89</v>
      </c>
      <c r="E90" s="1" t="s">
        <v>368</v>
      </c>
      <c r="F90" s="1"/>
      <c r="G90" s="1" t="s">
        <v>3081</v>
      </c>
    </row>
    <row r="91" spans="1:7">
      <c r="A91" s="1" t="s">
        <v>341</v>
      </c>
      <c r="B91" s="1" t="s">
        <v>81</v>
      </c>
      <c r="C91" s="1" t="s">
        <v>372</v>
      </c>
      <c r="D91" s="1" t="s">
        <v>373</v>
      </c>
      <c r="E91" s="1"/>
      <c r="F91" s="1" t="s">
        <v>84</v>
      </c>
      <c r="G91" s="1" t="s">
        <v>3082</v>
      </c>
    </row>
    <row r="92" spans="1:7">
      <c r="A92" s="1" t="s">
        <v>346</v>
      </c>
      <c r="B92" s="1" t="s">
        <v>81</v>
      </c>
      <c r="C92" s="1" t="s">
        <v>377</v>
      </c>
      <c r="D92" s="1" t="s">
        <v>378</v>
      </c>
      <c r="E92" s="1" t="s">
        <v>197</v>
      </c>
      <c r="F92" s="1" t="s">
        <v>32</v>
      </c>
      <c r="G92" s="1" t="s">
        <v>3058</v>
      </c>
    </row>
    <row r="93" spans="1:7">
      <c r="A93" s="1" t="s">
        <v>351</v>
      </c>
      <c r="B93" s="1" t="s">
        <v>81</v>
      </c>
      <c r="C93" s="1" t="s">
        <v>246</v>
      </c>
      <c r="D93" s="1" t="s">
        <v>290</v>
      </c>
      <c r="E93" s="1"/>
      <c r="F93" s="1"/>
      <c r="G93" s="1" t="s">
        <v>3053</v>
      </c>
    </row>
    <row r="94" spans="1:7">
      <c r="A94" s="1" t="s">
        <v>352</v>
      </c>
      <c r="B94" s="1" t="s">
        <v>81</v>
      </c>
      <c r="C94" s="1" t="s">
        <v>327</v>
      </c>
      <c r="D94" s="1" t="s">
        <v>381</v>
      </c>
      <c r="E94" s="1"/>
      <c r="F94" s="1" t="s">
        <v>84</v>
      </c>
      <c r="G94" s="1" t="s">
        <v>3083</v>
      </c>
    </row>
    <row r="95" spans="1:7">
      <c r="A95" s="1" t="s">
        <v>357</v>
      </c>
      <c r="B95" s="1" t="s">
        <v>81</v>
      </c>
      <c r="C95" s="1" t="s">
        <v>111</v>
      </c>
      <c r="D95" s="1" t="s">
        <v>112</v>
      </c>
      <c r="E95" s="1" t="s">
        <v>257</v>
      </c>
      <c r="F95" s="1" t="s">
        <v>84</v>
      </c>
      <c r="G95" s="1" t="s">
        <v>3046</v>
      </c>
    </row>
    <row r="96" spans="1:7">
      <c r="A96" s="1" t="s">
        <v>359</v>
      </c>
      <c r="B96" s="1" t="s">
        <v>81</v>
      </c>
      <c r="C96" s="1" t="s">
        <v>82</v>
      </c>
      <c r="D96" s="1" t="s">
        <v>389</v>
      </c>
      <c r="E96" s="1"/>
      <c r="F96" s="1" t="s">
        <v>84</v>
      </c>
      <c r="G96" s="1" t="s">
        <v>3041</v>
      </c>
    </row>
    <row r="97" spans="1:7">
      <c r="A97" s="1" t="s">
        <v>365</v>
      </c>
      <c r="B97" s="1" t="s">
        <v>81</v>
      </c>
      <c r="C97" s="1" t="s">
        <v>82</v>
      </c>
      <c r="D97" s="1" t="s">
        <v>391</v>
      </c>
      <c r="E97" s="1"/>
      <c r="F97" s="1" t="s">
        <v>84</v>
      </c>
      <c r="G97" s="1" t="s">
        <v>3041</v>
      </c>
    </row>
    <row r="98" spans="1:7">
      <c r="A98" s="1" t="s">
        <v>367</v>
      </c>
      <c r="B98" s="1" t="s">
        <v>81</v>
      </c>
      <c r="C98" s="1" t="s">
        <v>393</v>
      </c>
      <c r="D98" s="1" t="s">
        <v>394</v>
      </c>
      <c r="E98" s="1" t="s">
        <v>395</v>
      </c>
      <c r="F98" s="1" t="s">
        <v>32</v>
      </c>
      <c r="G98" s="1" t="s">
        <v>3084</v>
      </c>
    </row>
    <row r="99" spans="1:7">
      <c r="A99" s="1" t="s">
        <v>371</v>
      </c>
      <c r="B99" s="1" t="s">
        <v>81</v>
      </c>
      <c r="C99" s="1" t="s">
        <v>399</v>
      </c>
      <c r="D99" s="1" t="s">
        <v>180</v>
      </c>
      <c r="E99" s="1"/>
      <c r="F99" s="1"/>
      <c r="G99" s="1" t="s">
        <v>3053</v>
      </c>
    </row>
    <row r="100" spans="1:7">
      <c r="A100" s="1" t="s">
        <v>376</v>
      </c>
      <c r="B100" s="1" t="s">
        <v>81</v>
      </c>
      <c r="C100" s="1" t="s">
        <v>401</v>
      </c>
      <c r="D100" s="1" t="s">
        <v>402</v>
      </c>
      <c r="E100" s="1"/>
      <c r="F100" s="1" t="s">
        <v>84</v>
      </c>
      <c r="G100" s="1" t="s">
        <v>3085</v>
      </c>
    </row>
    <row r="101" spans="1:7">
      <c r="A101" s="1" t="s">
        <v>379</v>
      </c>
      <c r="B101" s="1" t="s">
        <v>81</v>
      </c>
      <c r="C101" s="1" t="s">
        <v>111</v>
      </c>
      <c r="D101" s="1" t="s">
        <v>406</v>
      </c>
      <c r="E101" s="1"/>
      <c r="F101" s="1" t="s">
        <v>84</v>
      </c>
      <c r="G101" s="1" t="s">
        <v>3086</v>
      </c>
    </row>
    <row r="102" spans="1:7">
      <c r="A102" s="1" t="s">
        <v>380</v>
      </c>
      <c r="B102" s="1" t="s">
        <v>81</v>
      </c>
      <c r="C102" s="1" t="s">
        <v>410</v>
      </c>
      <c r="D102" s="1" t="s">
        <v>411</v>
      </c>
      <c r="E102" s="1"/>
      <c r="F102" s="1" t="s">
        <v>84</v>
      </c>
      <c r="G102" s="1" t="s">
        <v>3087</v>
      </c>
    </row>
    <row r="103" spans="1:7">
      <c r="A103" s="1" t="s">
        <v>384</v>
      </c>
      <c r="B103" s="1" t="s">
        <v>81</v>
      </c>
      <c r="C103" s="1" t="s">
        <v>415</v>
      </c>
      <c r="D103" s="1" t="s">
        <v>373</v>
      </c>
      <c r="E103" s="1"/>
      <c r="F103" s="1" t="s">
        <v>84</v>
      </c>
      <c r="G103" s="1" t="s">
        <v>3082</v>
      </c>
    </row>
    <row r="104" spans="1:7">
      <c r="A104" s="1" t="s">
        <v>385</v>
      </c>
      <c r="B104" s="1" t="s">
        <v>81</v>
      </c>
      <c r="C104" s="1" t="s">
        <v>417</v>
      </c>
      <c r="D104" s="1" t="s">
        <v>402</v>
      </c>
      <c r="E104" s="1"/>
      <c r="F104" s="1" t="s">
        <v>84</v>
      </c>
      <c r="G104" s="1" t="s">
        <v>3085</v>
      </c>
    </row>
    <row r="105" spans="1:7">
      <c r="A105" s="1" t="s">
        <v>388</v>
      </c>
      <c r="B105" s="1" t="s">
        <v>81</v>
      </c>
      <c r="C105" s="1" t="s">
        <v>117</v>
      </c>
      <c r="D105" s="1" t="s">
        <v>95</v>
      </c>
      <c r="E105" s="1" t="s">
        <v>96</v>
      </c>
      <c r="F105" s="1" t="s">
        <v>84</v>
      </c>
      <c r="G105" s="1" t="s">
        <v>3043</v>
      </c>
    </row>
    <row r="106" spans="1:7">
      <c r="A106" s="1" t="s">
        <v>390</v>
      </c>
      <c r="B106" s="1" t="s">
        <v>81</v>
      </c>
      <c r="C106" s="1" t="s">
        <v>420</v>
      </c>
      <c r="D106" s="1" t="s">
        <v>421</v>
      </c>
      <c r="E106" s="1"/>
      <c r="F106" s="1" t="s">
        <v>84</v>
      </c>
      <c r="G106" s="1" t="s">
        <v>3088</v>
      </c>
    </row>
    <row r="107" spans="1:7">
      <c r="A107" s="1" t="s">
        <v>392</v>
      </c>
      <c r="B107" s="1" t="s">
        <v>81</v>
      </c>
      <c r="C107" s="1" t="s">
        <v>82</v>
      </c>
      <c r="D107" s="1" t="s">
        <v>425</v>
      </c>
      <c r="E107" s="1"/>
      <c r="F107" s="1" t="s">
        <v>84</v>
      </c>
      <c r="G107" s="1" t="s">
        <v>3041</v>
      </c>
    </row>
    <row r="108" spans="1:7">
      <c r="A108" s="1" t="s">
        <v>398</v>
      </c>
      <c r="B108" s="1" t="s">
        <v>81</v>
      </c>
      <c r="C108" s="1" t="s">
        <v>427</v>
      </c>
      <c r="D108" s="1" t="s">
        <v>428</v>
      </c>
      <c r="E108" s="1" t="s">
        <v>107</v>
      </c>
      <c r="F108" s="1" t="s">
        <v>32</v>
      </c>
      <c r="G108" s="1" t="s">
        <v>3045</v>
      </c>
    </row>
    <row r="109" spans="1:7">
      <c r="A109" s="1" t="s">
        <v>400</v>
      </c>
      <c r="B109" s="1" t="s">
        <v>81</v>
      </c>
      <c r="C109" s="1" t="s">
        <v>430</v>
      </c>
      <c r="D109" s="1" t="s">
        <v>431</v>
      </c>
      <c r="E109" s="1"/>
      <c r="F109" s="1"/>
      <c r="G109" s="1" t="s">
        <v>3089</v>
      </c>
    </row>
    <row r="110" spans="1:7">
      <c r="A110" s="1" t="s">
        <v>405</v>
      </c>
      <c r="B110" s="1" t="s">
        <v>81</v>
      </c>
      <c r="C110" s="1" t="s">
        <v>123</v>
      </c>
      <c r="D110" s="1" t="s">
        <v>435</v>
      </c>
      <c r="E110" s="1" t="s">
        <v>119</v>
      </c>
      <c r="F110" s="1" t="s">
        <v>84</v>
      </c>
      <c r="G110" s="1" t="s">
        <v>3090</v>
      </c>
    </row>
    <row r="111" spans="1:7">
      <c r="A111" s="1" t="s">
        <v>409</v>
      </c>
      <c r="B111" s="1" t="s">
        <v>81</v>
      </c>
      <c r="C111" s="1" t="s">
        <v>82</v>
      </c>
      <c r="D111" s="1" t="s">
        <v>437</v>
      </c>
      <c r="E111" s="1"/>
      <c r="F111" s="1" t="s">
        <v>84</v>
      </c>
      <c r="G111" s="1" t="s">
        <v>3041</v>
      </c>
    </row>
    <row r="112" spans="1:7">
      <c r="A112" s="1" t="s">
        <v>414</v>
      </c>
      <c r="B112" s="1" t="s">
        <v>81</v>
      </c>
      <c r="C112" s="1" t="s">
        <v>175</v>
      </c>
      <c r="D112" s="1" t="s">
        <v>89</v>
      </c>
      <c r="E112" s="1" t="s">
        <v>90</v>
      </c>
      <c r="F112" s="1" t="s">
        <v>84</v>
      </c>
      <c r="G112" s="1" t="s">
        <v>3042</v>
      </c>
    </row>
    <row r="113" spans="1:7">
      <c r="A113" s="1" t="s">
        <v>416</v>
      </c>
      <c r="B113" s="1" t="s">
        <v>81</v>
      </c>
      <c r="C113" s="1" t="s">
        <v>440</v>
      </c>
      <c r="D113" s="1" t="s">
        <v>441</v>
      </c>
      <c r="E113" s="1" t="s">
        <v>119</v>
      </c>
      <c r="F113" s="1" t="s">
        <v>84</v>
      </c>
      <c r="G113" s="1" t="s">
        <v>3090</v>
      </c>
    </row>
    <row r="114" spans="1:7">
      <c r="A114" s="1" t="s">
        <v>418</v>
      </c>
      <c r="B114" s="1" t="s">
        <v>81</v>
      </c>
      <c r="C114" s="1" t="s">
        <v>82</v>
      </c>
      <c r="D114" s="1" t="s">
        <v>443</v>
      </c>
      <c r="E114" s="1"/>
      <c r="F114" s="1" t="s">
        <v>84</v>
      </c>
      <c r="G114" s="1" t="s">
        <v>3041</v>
      </c>
    </row>
    <row r="115" spans="1:7">
      <c r="A115" s="1" t="s">
        <v>419</v>
      </c>
      <c r="B115" s="1" t="s">
        <v>81</v>
      </c>
      <c r="C115" s="1" t="s">
        <v>165</v>
      </c>
      <c r="D115" s="1" t="s">
        <v>445</v>
      </c>
      <c r="E115" s="1"/>
      <c r="F115" s="1" t="s">
        <v>84</v>
      </c>
      <c r="G115" s="1" t="s">
        <v>3091</v>
      </c>
    </row>
    <row r="116" spans="1:7">
      <c r="A116" s="1" t="s">
        <v>424</v>
      </c>
      <c r="B116" s="1" t="s">
        <v>81</v>
      </c>
      <c r="C116" s="1" t="s">
        <v>117</v>
      </c>
      <c r="D116" s="1" t="s">
        <v>89</v>
      </c>
      <c r="E116" s="1" t="s">
        <v>90</v>
      </c>
      <c r="F116" s="1" t="s">
        <v>84</v>
      </c>
      <c r="G116" s="1" t="s">
        <v>3042</v>
      </c>
    </row>
    <row r="117" spans="1:7">
      <c r="A117" s="1" t="s">
        <v>426</v>
      </c>
      <c r="B117" s="1" t="s">
        <v>81</v>
      </c>
      <c r="C117" s="1" t="s">
        <v>448</v>
      </c>
      <c r="D117" s="1" t="s">
        <v>373</v>
      </c>
      <c r="E117" s="1"/>
      <c r="F117" s="1" t="s">
        <v>84</v>
      </c>
      <c r="G117" s="1" t="s">
        <v>3082</v>
      </c>
    </row>
    <row r="118" spans="1:7">
      <c r="A118" s="1" t="s">
        <v>429</v>
      </c>
      <c r="B118" s="1" t="s">
        <v>81</v>
      </c>
      <c r="C118" s="1" t="s">
        <v>450</v>
      </c>
      <c r="D118" s="1" t="s">
        <v>451</v>
      </c>
      <c r="E118" s="1"/>
      <c r="F118" s="1" t="s">
        <v>84</v>
      </c>
      <c r="G118" s="1" t="s">
        <v>3062</v>
      </c>
    </row>
    <row r="119" spans="1:7">
      <c r="A119" s="1" t="s">
        <v>434</v>
      </c>
      <c r="B119" s="1" t="s">
        <v>81</v>
      </c>
      <c r="C119" s="1" t="s">
        <v>310</v>
      </c>
      <c r="D119" s="1" t="s">
        <v>453</v>
      </c>
      <c r="E119" s="1"/>
      <c r="F119" s="1" t="s">
        <v>84</v>
      </c>
      <c r="G119" s="1" t="s">
        <v>3092</v>
      </c>
    </row>
    <row r="120" spans="1:7">
      <c r="A120" s="1" t="s">
        <v>436</v>
      </c>
      <c r="B120" s="1" t="s">
        <v>81</v>
      </c>
      <c r="C120" s="1" t="s">
        <v>399</v>
      </c>
      <c r="D120" s="1" t="s">
        <v>154</v>
      </c>
      <c r="E120" s="1"/>
      <c r="F120" s="1"/>
      <c r="G120" s="1" t="s">
        <v>3053</v>
      </c>
    </row>
    <row r="121" spans="1:7">
      <c r="A121" s="1" t="s">
        <v>438</v>
      </c>
      <c r="B121" s="1" t="s">
        <v>81</v>
      </c>
      <c r="C121" s="1" t="s">
        <v>123</v>
      </c>
      <c r="D121" s="1" t="s">
        <v>458</v>
      </c>
      <c r="E121" s="1"/>
      <c r="F121" s="1" t="s">
        <v>84</v>
      </c>
      <c r="G121" s="1" t="s">
        <v>3093</v>
      </c>
    </row>
    <row r="122" spans="1:7">
      <c r="A122" s="1" t="s">
        <v>439</v>
      </c>
      <c r="B122" s="1" t="s">
        <v>81</v>
      </c>
      <c r="C122" s="1" t="s">
        <v>372</v>
      </c>
      <c r="D122" s="1" t="s">
        <v>462</v>
      </c>
      <c r="E122" s="1"/>
      <c r="F122" s="1" t="s">
        <v>84</v>
      </c>
      <c r="G122" s="1" t="s">
        <v>3087</v>
      </c>
    </row>
    <row r="123" spans="1:7">
      <c r="A123" s="1" t="s">
        <v>442</v>
      </c>
      <c r="B123" s="1" t="s">
        <v>81</v>
      </c>
      <c r="C123" s="1" t="s">
        <v>417</v>
      </c>
      <c r="D123" s="1" t="s">
        <v>464</v>
      </c>
      <c r="E123" s="1"/>
      <c r="F123" s="1" t="s">
        <v>84</v>
      </c>
      <c r="G123" s="1" t="s">
        <v>3094</v>
      </c>
    </row>
    <row r="124" spans="1:7">
      <c r="A124" s="1" t="s">
        <v>444</v>
      </c>
      <c r="B124" s="1" t="s">
        <v>81</v>
      </c>
      <c r="C124" s="1" t="s">
        <v>468</v>
      </c>
      <c r="D124" s="1" t="s">
        <v>469</v>
      </c>
      <c r="E124" s="1"/>
      <c r="F124" s="1" t="s">
        <v>84</v>
      </c>
      <c r="G124" s="1" t="s">
        <v>3095</v>
      </c>
    </row>
    <row r="125" spans="1:7">
      <c r="A125" s="1" t="s">
        <v>446</v>
      </c>
      <c r="B125" s="1" t="s">
        <v>81</v>
      </c>
      <c r="C125" s="1" t="s">
        <v>117</v>
      </c>
      <c r="D125" s="1" t="s">
        <v>95</v>
      </c>
      <c r="E125" s="1" t="s">
        <v>119</v>
      </c>
      <c r="F125" s="1" t="s">
        <v>84</v>
      </c>
      <c r="G125" s="1" t="s">
        <v>3090</v>
      </c>
    </row>
    <row r="126" spans="1:7">
      <c r="A126" s="1" t="s">
        <v>447</v>
      </c>
      <c r="B126" s="1" t="s">
        <v>81</v>
      </c>
      <c r="C126" s="1" t="s">
        <v>148</v>
      </c>
      <c r="D126" s="1" t="s">
        <v>474</v>
      </c>
      <c r="E126" s="1"/>
      <c r="F126" s="1" t="s">
        <v>84</v>
      </c>
      <c r="G126" s="1" t="s">
        <v>3096</v>
      </c>
    </row>
    <row r="127" spans="1:7">
      <c r="A127" s="1" t="s">
        <v>449</v>
      </c>
      <c r="B127" s="1" t="s">
        <v>81</v>
      </c>
      <c r="C127" s="1" t="s">
        <v>377</v>
      </c>
      <c r="D127" s="1" t="s">
        <v>478</v>
      </c>
      <c r="E127" s="1" t="s">
        <v>119</v>
      </c>
      <c r="F127" s="1" t="s">
        <v>84</v>
      </c>
      <c r="G127" s="1" t="s">
        <v>3090</v>
      </c>
    </row>
    <row r="128" spans="1:7">
      <c r="A128" s="1" t="s">
        <v>452</v>
      </c>
      <c r="B128" s="1" t="s">
        <v>81</v>
      </c>
      <c r="C128" s="1" t="s">
        <v>117</v>
      </c>
      <c r="D128" s="1" t="s">
        <v>482</v>
      </c>
      <c r="E128" s="1"/>
      <c r="F128" s="1" t="s">
        <v>84</v>
      </c>
      <c r="G128" s="1" t="s">
        <v>3097</v>
      </c>
    </row>
    <row r="129" spans="1:7">
      <c r="A129" s="1" t="s">
        <v>456</v>
      </c>
      <c r="B129" s="1" t="s">
        <v>81</v>
      </c>
      <c r="C129" s="1" t="s">
        <v>201</v>
      </c>
      <c r="D129" s="1" t="s">
        <v>486</v>
      </c>
      <c r="E129" s="1"/>
      <c r="F129" s="1" t="s">
        <v>84</v>
      </c>
      <c r="G129" s="1" t="s">
        <v>3059</v>
      </c>
    </row>
    <row r="130" spans="1:7">
      <c r="A130" s="1" t="s">
        <v>457</v>
      </c>
      <c r="B130" s="1" t="s">
        <v>81</v>
      </c>
      <c r="C130" s="1" t="s">
        <v>358</v>
      </c>
      <c r="D130" s="1" t="s">
        <v>134</v>
      </c>
      <c r="E130" s="1" t="s">
        <v>488</v>
      </c>
      <c r="F130" s="1" t="s">
        <v>84</v>
      </c>
      <c r="G130" s="1" t="s">
        <v>3049</v>
      </c>
    </row>
    <row r="131" spans="1:7">
      <c r="A131" s="1" t="s">
        <v>461</v>
      </c>
      <c r="B131" s="1" t="s">
        <v>81</v>
      </c>
      <c r="C131" s="1" t="s">
        <v>82</v>
      </c>
      <c r="D131" s="1" t="s">
        <v>490</v>
      </c>
      <c r="E131" s="1"/>
      <c r="F131" s="1" t="s">
        <v>84</v>
      </c>
      <c r="G131" s="1" t="s">
        <v>3041</v>
      </c>
    </row>
    <row r="132" spans="1:7">
      <c r="A132" s="1" t="s">
        <v>463</v>
      </c>
      <c r="B132" s="1" t="s">
        <v>81</v>
      </c>
      <c r="C132" s="1" t="s">
        <v>175</v>
      </c>
      <c r="D132" s="1" t="s">
        <v>89</v>
      </c>
      <c r="E132" s="1" t="s">
        <v>492</v>
      </c>
      <c r="F132" s="1" t="s">
        <v>84</v>
      </c>
      <c r="G132" s="1" t="s">
        <v>3042</v>
      </c>
    </row>
    <row r="133" spans="1:7">
      <c r="A133" s="1" t="s">
        <v>467</v>
      </c>
      <c r="B133" s="1" t="s">
        <v>81</v>
      </c>
      <c r="C133" s="1" t="s">
        <v>82</v>
      </c>
      <c r="D133" s="1" t="s">
        <v>494</v>
      </c>
      <c r="E133" s="1"/>
      <c r="F133" s="1" t="s">
        <v>84</v>
      </c>
      <c r="G133" s="1" t="s">
        <v>3041</v>
      </c>
    </row>
    <row r="134" spans="1:7">
      <c r="A134" s="1" t="s">
        <v>472</v>
      </c>
      <c r="B134" s="1" t="s">
        <v>81</v>
      </c>
      <c r="C134" s="1" t="s">
        <v>111</v>
      </c>
      <c r="D134" s="1" t="s">
        <v>496</v>
      </c>
      <c r="E134" s="1"/>
      <c r="F134" s="1" t="s">
        <v>84</v>
      </c>
      <c r="G134" s="1" t="s">
        <v>3098</v>
      </c>
    </row>
    <row r="135" spans="1:7">
      <c r="A135" s="1" t="s">
        <v>473</v>
      </c>
      <c r="B135" s="1" t="s">
        <v>81</v>
      </c>
      <c r="C135" s="1" t="s">
        <v>117</v>
      </c>
      <c r="D135" s="1" t="s">
        <v>500</v>
      </c>
      <c r="E135" s="1" t="s">
        <v>242</v>
      </c>
      <c r="F135" s="1" t="s">
        <v>32</v>
      </c>
      <c r="G135" s="1" t="s">
        <v>2730</v>
      </c>
    </row>
    <row r="136" spans="1:7">
      <c r="A136" s="1" t="s">
        <v>477</v>
      </c>
      <c r="B136" s="1" t="s">
        <v>81</v>
      </c>
      <c r="C136" s="1" t="s">
        <v>111</v>
      </c>
      <c r="D136" s="1" t="s">
        <v>259</v>
      </c>
      <c r="E136" s="1" t="s">
        <v>502</v>
      </c>
      <c r="F136" s="1" t="s">
        <v>84</v>
      </c>
      <c r="G136" s="1" t="s">
        <v>3064</v>
      </c>
    </row>
    <row r="137" spans="1:7">
      <c r="A137" s="1" t="s">
        <v>479</v>
      </c>
      <c r="B137" s="1" t="s">
        <v>81</v>
      </c>
      <c r="C137" s="1" t="s">
        <v>88</v>
      </c>
      <c r="D137" s="1" t="s">
        <v>89</v>
      </c>
      <c r="E137" s="1" t="s">
        <v>504</v>
      </c>
      <c r="F137" s="1"/>
      <c r="G137" s="1" t="s">
        <v>3099</v>
      </c>
    </row>
    <row r="138" spans="1:7">
      <c r="A138" s="1" t="s">
        <v>481</v>
      </c>
      <c r="B138" s="1" t="s">
        <v>81</v>
      </c>
      <c r="C138" s="1" t="s">
        <v>128</v>
      </c>
      <c r="D138" s="1" t="s">
        <v>328</v>
      </c>
      <c r="E138" s="1" t="s">
        <v>329</v>
      </c>
      <c r="F138" s="1" t="s">
        <v>84</v>
      </c>
      <c r="G138" s="1" t="s">
        <v>3075</v>
      </c>
    </row>
    <row r="139" spans="1:7">
      <c r="A139" s="1" t="s">
        <v>485</v>
      </c>
      <c r="B139" s="1" t="s">
        <v>81</v>
      </c>
      <c r="C139" s="1" t="s">
        <v>509</v>
      </c>
      <c r="D139" s="1" t="s">
        <v>510</v>
      </c>
      <c r="E139" s="1"/>
      <c r="F139" s="1" t="s">
        <v>84</v>
      </c>
      <c r="G139" s="1" t="s">
        <v>3054</v>
      </c>
    </row>
    <row r="140" spans="1:7">
      <c r="A140" s="1" t="s">
        <v>487</v>
      </c>
      <c r="B140" s="1" t="s">
        <v>81</v>
      </c>
      <c r="C140" s="1" t="s">
        <v>512</v>
      </c>
      <c r="D140" s="1" t="s">
        <v>194</v>
      </c>
      <c r="E140" s="1"/>
      <c r="F140" s="1"/>
      <c r="G140" s="1" t="s">
        <v>3053</v>
      </c>
    </row>
    <row r="141" spans="1:7">
      <c r="A141" s="1" t="s">
        <v>489</v>
      </c>
      <c r="B141" s="1" t="s">
        <v>81</v>
      </c>
      <c r="C141" s="1" t="s">
        <v>514</v>
      </c>
      <c r="D141" s="1" t="s">
        <v>515</v>
      </c>
      <c r="E141" s="1" t="s">
        <v>516</v>
      </c>
      <c r="F141" s="1" t="s">
        <v>32</v>
      </c>
      <c r="G141" s="1" t="s">
        <v>3100</v>
      </c>
    </row>
    <row r="142" spans="1:7">
      <c r="A142" s="1" t="s">
        <v>491</v>
      </c>
      <c r="B142" s="1" t="s">
        <v>81</v>
      </c>
      <c r="C142" s="1" t="s">
        <v>520</v>
      </c>
      <c r="D142" s="1" t="s">
        <v>521</v>
      </c>
      <c r="E142" s="1"/>
      <c r="F142" s="1"/>
      <c r="G142" s="1" t="s">
        <v>3101</v>
      </c>
    </row>
    <row r="143" spans="1:7">
      <c r="A143" s="1" t="s">
        <v>493</v>
      </c>
      <c r="B143" s="1" t="s">
        <v>81</v>
      </c>
      <c r="C143" s="1" t="s">
        <v>128</v>
      </c>
      <c r="D143" s="1" t="s">
        <v>525</v>
      </c>
      <c r="E143" s="1"/>
      <c r="F143" s="1" t="s">
        <v>84</v>
      </c>
      <c r="G143" s="1" t="s">
        <v>3102</v>
      </c>
    </row>
    <row r="144" spans="1:7">
      <c r="A144" s="1" t="s">
        <v>495</v>
      </c>
      <c r="B144" s="1" t="s">
        <v>81</v>
      </c>
      <c r="C144" s="1" t="s">
        <v>133</v>
      </c>
      <c r="D144" s="1" t="s">
        <v>134</v>
      </c>
      <c r="E144" s="1" t="s">
        <v>529</v>
      </c>
      <c r="F144" s="1" t="s">
        <v>84</v>
      </c>
      <c r="G144" s="1" t="s">
        <v>3049</v>
      </c>
    </row>
    <row r="145" spans="1:7">
      <c r="A145" s="1" t="s">
        <v>499</v>
      </c>
      <c r="B145" s="1" t="s">
        <v>81</v>
      </c>
      <c r="C145" s="1" t="s">
        <v>531</v>
      </c>
      <c r="D145" s="1" t="s">
        <v>532</v>
      </c>
      <c r="E145" s="1" t="s">
        <v>533</v>
      </c>
      <c r="F145" s="1" t="s">
        <v>84</v>
      </c>
      <c r="G145" s="1" t="s">
        <v>3069</v>
      </c>
    </row>
    <row r="146" spans="1:7">
      <c r="A146" s="1" t="s">
        <v>501</v>
      </c>
      <c r="B146" s="1" t="s">
        <v>81</v>
      </c>
      <c r="C146" s="1" t="s">
        <v>82</v>
      </c>
      <c r="D146" s="1" t="s">
        <v>535</v>
      </c>
      <c r="E146" s="1"/>
      <c r="F146" s="1" t="s">
        <v>84</v>
      </c>
      <c r="G146" s="1" t="s">
        <v>3041</v>
      </c>
    </row>
    <row r="147" spans="1:7">
      <c r="A147" s="1" t="s">
        <v>503</v>
      </c>
      <c r="B147" s="1" t="s">
        <v>81</v>
      </c>
      <c r="C147" s="1" t="s">
        <v>88</v>
      </c>
      <c r="D147" s="1" t="s">
        <v>259</v>
      </c>
      <c r="E147" s="1" t="s">
        <v>537</v>
      </c>
      <c r="F147" s="1" t="s">
        <v>84</v>
      </c>
      <c r="G147" s="1" t="s">
        <v>3075</v>
      </c>
    </row>
    <row r="148" spans="1:7">
      <c r="A148" s="1" t="s">
        <v>507</v>
      </c>
      <c r="B148" s="1" t="s">
        <v>81</v>
      </c>
      <c r="C148" s="1" t="s">
        <v>88</v>
      </c>
      <c r="D148" s="1" t="s">
        <v>112</v>
      </c>
      <c r="E148" s="1" t="s">
        <v>113</v>
      </c>
      <c r="F148" s="1" t="s">
        <v>84</v>
      </c>
      <c r="G148" s="1" t="s">
        <v>3046</v>
      </c>
    </row>
    <row r="149" spans="1:7">
      <c r="A149" s="1" t="s">
        <v>508</v>
      </c>
      <c r="B149" s="1" t="s">
        <v>81</v>
      </c>
      <c r="C149" s="1" t="s">
        <v>310</v>
      </c>
      <c r="D149" s="1" t="s">
        <v>540</v>
      </c>
      <c r="E149" s="1"/>
      <c r="F149" s="1" t="s">
        <v>84</v>
      </c>
      <c r="G149" s="1" t="s">
        <v>3102</v>
      </c>
    </row>
    <row r="150" spans="1:7">
      <c r="A150" s="1" t="s">
        <v>511</v>
      </c>
      <c r="B150" s="1" t="s">
        <v>81</v>
      </c>
      <c r="C150" s="1" t="s">
        <v>88</v>
      </c>
      <c r="D150" s="1" t="s">
        <v>247</v>
      </c>
      <c r="E150" s="1" t="s">
        <v>253</v>
      </c>
      <c r="F150" s="1" t="s">
        <v>84</v>
      </c>
      <c r="G150" s="1" t="s">
        <v>3064</v>
      </c>
    </row>
    <row r="151" spans="1:7">
      <c r="A151" s="1" t="s">
        <v>513</v>
      </c>
      <c r="B151" s="1" t="s">
        <v>81</v>
      </c>
      <c r="C151" s="1" t="s">
        <v>123</v>
      </c>
      <c r="D151" s="1" t="s">
        <v>543</v>
      </c>
      <c r="E151" s="1"/>
      <c r="F151" s="1" t="s">
        <v>84</v>
      </c>
      <c r="G151" s="1" t="s">
        <v>3093</v>
      </c>
    </row>
    <row r="152" spans="1:7">
      <c r="A152" s="1" t="s">
        <v>519</v>
      </c>
      <c r="B152" s="1" t="s">
        <v>81</v>
      </c>
      <c r="C152" s="1" t="s">
        <v>393</v>
      </c>
      <c r="D152" s="1" t="s">
        <v>545</v>
      </c>
      <c r="E152" s="1"/>
      <c r="F152" s="1" t="s">
        <v>84</v>
      </c>
      <c r="G152" s="1" t="s">
        <v>3094</v>
      </c>
    </row>
    <row r="153" spans="1:7">
      <c r="A153" s="1" t="s">
        <v>524</v>
      </c>
      <c r="B153" s="1" t="s">
        <v>81</v>
      </c>
      <c r="C153" s="1" t="s">
        <v>547</v>
      </c>
      <c r="D153" s="1" t="s">
        <v>548</v>
      </c>
      <c r="E153" s="1"/>
      <c r="F153" s="1" t="s">
        <v>84</v>
      </c>
      <c r="G153" s="1" t="s">
        <v>3103</v>
      </c>
    </row>
    <row r="154" spans="1:7">
      <c r="A154" s="1" t="s">
        <v>528</v>
      </c>
      <c r="B154" s="1" t="s">
        <v>81</v>
      </c>
      <c r="C154" s="1" t="s">
        <v>82</v>
      </c>
      <c r="D154" s="1" t="s">
        <v>552</v>
      </c>
      <c r="E154" s="1"/>
      <c r="F154" s="1" t="s">
        <v>84</v>
      </c>
      <c r="G154" s="1" t="s">
        <v>3041</v>
      </c>
    </row>
    <row r="155" spans="1:7">
      <c r="A155" s="1" t="s">
        <v>530</v>
      </c>
      <c r="B155" s="1" t="s">
        <v>81</v>
      </c>
      <c r="C155" s="1" t="s">
        <v>554</v>
      </c>
      <c r="D155" s="1" t="s">
        <v>555</v>
      </c>
      <c r="E155" s="1"/>
      <c r="F155" s="1" t="s">
        <v>84</v>
      </c>
      <c r="G155" s="1" t="s">
        <v>3104</v>
      </c>
    </row>
    <row r="156" spans="1:7">
      <c r="A156" s="1" t="s">
        <v>534</v>
      </c>
      <c r="B156" s="1" t="s">
        <v>81</v>
      </c>
      <c r="C156" s="1" t="s">
        <v>559</v>
      </c>
      <c r="D156" s="1" t="s">
        <v>469</v>
      </c>
      <c r="E156" s="1"/>
      <c r="F156" s="1" t="s">
        <v>84</v>
      </c>
      <c r="G156" s="1" t="s">
        <v>3095</v>
      </c>
    </row>
    <row r="157" spans="1:7">
      <c r="A157" s="1" t="s">
        <v>536</v>
      </c>
      <c r="B157" s="1" t="s">
        <v>81</v>
      </c>
      <c r="C157" s="1" t="s">
        <v>561</v>
      </c>
      <c r="D157" s="1" t="s">
        <v>562</v>
      </c>
      <c r="E157" s="1"/>
      <c r="F157" s="1" t="s">
        <v>84</v>
      </c>
      <c r="G157" s="1" t="s">
        <v>3105</v>
      </c>
    </row>
    <row r="158" spans="1:7">
      <c r="A158" s="1" t="s">
        <v>538</v>
      </c>
      <c r="B158" s="1" t="s">
        <v>81</v>
      </c>
      <c r="C158" s="1" t="s">
        <v>566</v>
      </c>
      <c r="D158" s="1" t="s">
        <v>567</v>
      </c>
      <c r="E158" s="1"/>
      <c r="F158" s="1" t="s">
        <v>84</v>
      </c>
      <c r="G158" s="1" t="s">
        <v>3106</v>
      </c>
    </row>
    <row r="159" spans="1:7">
      <c r="A159" s="1" t="s">
        <v>539</v>
      </c>
      <c r="B159" s="1" t="s">
        <v>81</v>
      </c>
      <c r="C159" s="1" t="s">
        <v>88</v>
      </c>
      <c r="D159" s="1" t="s">
        <v>89</v>
      </c>
      <c r="E159" s="1" t="s">
        <v>368</v>
      </c>
      <c r="F159" s="1"/>
      <c r="G159" s="1" t="s">
        <v>3081</v>
      </c>
    </row>
    <row r="160" spans="1:7">
      <c r="A160" s="1" t="s">
        <v>541</v>
      </c>
      <c r="B160" s="1" t="s">
        <v>81</v>
      </c>
      <c r="C160" s="1" t="s">
        <v>246</v>
      </c>
      <c r="D160" s="1" t="s">
        <v>247</v>
      </c>
      <c r="E160" s="1" t="s">
        <v>253</v>
      </c>
      <c r="F160" s="1" t="s">
        <v>84</v>
      </c>
      <c r="G160" s="1" t="s">
        <v>3064</v>
      </c>
    </row>
    <row r="161" spans="1:7">
      <c r="A161" s="1" t="s">
        <v>542</v>
      </c>
      <c r="B161" s="1" t="s">
        <v>81</v>
      </c>
      <c r="C161" s="1" t="s">
        <v>573</v>
      </c>
      <c r="D161" s="1" t="s">
        <v>574</v>
      </c>
      <c r="E161" s="1"/>
      <c r="F161" s="1" t="s">
        <v>84</v>
      </c>
      <c r="G161" s="1" t="s">
        <v>3105</v>
      </c>
    </row>
    <row r="162" spans="1:7">
      <c r="A162" s="1" t="s">
        <v>544</v>
      </c>
      <c r="B162" s="1" t="s">
        <v>81</v>
      </c>
      <c r="C162" s="1" t="s">
        <v>420</v>
      </c>
      <c r="D162" s="1" t="s">
        <v>525</v>
      </c>
      <c r="E162" s="1"/>
      <c r="F162" s="1" t="s">
        <v>84</v>
      </c>
      <c r="G162" s="1" t="s">
        <v>3102</v>
      </c>
    </row>
    <row r="163" spans="1:7">
      <c r="A163" s="1" t="s">
        <v>546</v>
      </c>
      <c r="B163" s="1" t="s">
        <v>81</v>
      </c>
      <c r="C163" s="1" t="s">
        <v>117</v>
      </c>
      <c r="D163" s="1" t="s">
        <v>89</v>
      </c>
      <c r="E163" s="1" t="s">
        <v>492</v>
      </c>
      <c r="F163" s="1" t="s">
        <v>84</v>
      </c>
      <c r="G163" s="1" t="s">
        <v>3042</v>
      </c>
    </row>
    <row r="164" spans="1:7">
      <c r="A164" s="1" t="s">
        <v>551</v>
      </c>
      <c r="B164" s="1" t="s">
        <v>81</v>
      </c>
      <c r="C164" s="1" t="s">
        <v>372</v>
      </c>
      <c r="D164" s="1" t="s">
        <v>462</v>
      </c>
      <c r="E164" s="1"/>
      <c r="F164" s="1"/>
      <c r="G164" s="1" t="s">
        <v>3107</v>
      </c>
    </row>
    <row r="165" spans="1:7">
      <c r="A165" s="1" t="s">
        <v>553</v>
      </c>
      <c r="B165" s="1" t="s">
        <v>81</v>
      </c>
      <c r="C165" s="1" t="s">
        <v>123</v>
      </c>
      <c r="D165" s="1" t="s">
        <v>584</v>
      </c>
      <c r="E165" s="1"/>
      <c r="F165" s="1" t="s">
        <v>84</v>
      </c>
      <c r="G165" s="1" t="s">
        <v>3093</v>
      </c>
    </row>
    <row r="166" spans="1:7">
      <c r="A166" s="1" t="s">
        <v>558</v>
      </c>
      <c r="B166" s="1" t="s">
        <v>81</v>
      </c>
      <c r="C166" s="1" t="s">
        <v>586</v>
      </c>
      <c r="D166" s="1" t="s">
        <v>428</v>
      </c>
      <c r="E166" s="1" t="s">
        <v>107</v>
      </c>
      <c r="F166" s="1" t="s">
        <v>32</v>
      </c>
      <c r="G166" s="1" t="s">
        <v>3045</v>
      </c>
    </row>
    <row r="167" spans="1:7">
      <c r="A167" s="1" t="s">
        <v>560</v>
      </c>
      <c r="B167" s="1" t="s">
        <v>81</v>
      </c>
      <c r="C167" s="1" t="s">
        <v>111</v>
      </c>
      <c r="D167" s="1" t="s">
        <v>590</v>
      </c>
      <c r="E167" s="1"/>
      <c r="F167" s="1" t="s">
        <v>84</v>
      </c>
      <c r="G167" s="1" t="s">
        <v>3108</v>
      </c>
    </row>
    <row r="168" spans="1:7">
      <c r="A168" s="1" t="s">
        <v>565</v>
      </c>
      <c r="B168" s="1" t="s">
        <v>81</v>
      </c>
      <c r="C168" s="1" t="s">
        <v>117</v>
      </c>
      <c r="D168" s="1" t="s">
        <v>89</v>
      </c>
      <c r="E168" s="1" t="s">
        <v>191</v>
      </c>
      <c r="F168" s="1" t="s">
        <v>84</v>
      </c>
      <c r="G168" s="1" t="s">
        <v>3042</v>
      </c>
    </row>
    <row r="169" spans="1:7">
      <c r="A169" s="1" t="s">
        <v>570</v>
      </c>
      <c r="B169" s="1" t="s">
        <v>81</v>
      </c>
      <c r="C169" s="1" t="s">
        <v>310</v>
      </c>
      <c r="D169" s="1" t="s">
        <v>596</v>
      </c>
      <c r="E169" s="1"/>
      <c r="F169" s="1" t="s">
        <v>84</v>
      </c>
      <c r="G169" s="1" t="s">
        <v>3102</v>
      </c>
    </row>
    <row r="170" spans="1:7">
      <c r="A170" s="1" t="s">
        <v>571</v>
      </c>
      <c r="B170" s="1" t="s">
        <v>81</v>
      </c>
      <c r="C170" s="1" t="s">
        <v>598</v>
      </c>
      <c r="D170" s="1" t="s">
        <v>599</v>
      </c>
      <c r="E170" s="1" t="s">
        <v>600</v>
      </c>
      <c r="F170" s="1" t="s">
        <v>32</v>
      </c>
      <c r="G170" s="1" t="s">
        <v>3109</v>
      </c>
    </row>
    <row r="171" spans="1:7">
      <c r="A171" s="1" t="s">
        <v>572</v>
      </c>
      <c r="B171" s="1" t="s">
        <v>81</v>
      </c>
      <c r="C171" s="1" t="s">
        <v>604</v>
      </c>
      <c r="D171" s="1" t="s">
        <v>605</v>
      </c>
      <c r="E171" s="1"/>
      <c r="F171" s="1"/>
      <c r="G171" s="1" t="s">
        <v>3110</v>
      </c>
    </row>
    <row r="172" spans="1:7">
      <c r="A172" s="1" t="s">
        <v>575</v>
      </c>
      <c r="B172" s="1" t="s">
        <v>81</v>
      </c>
      <c r="C172" s="1" t="s">
        <v>88</v>
      </c>
      <c r="D172" s="1" t="s">
        <v>89</v>
      </c>
      <c r="E172" s="1" t="s">
        <v>609</v>
      </c>
      <c r="F172" s="1" t="s">
        <v>84</v>
      </c>
      <c r="G172" s="1" t="s">
        <v>3042</v>
      </c>
    </row>
    <row r="173" spans="1:7">
      <c r="A173" s="1" t="s">
        <v>576</v>
      </c>
      <c r="B173" s="1" t="s">
        <v>81</v>
      </c>
      <c r="C173" s="1" t="s">
        <v>611</v>
      </c>
      <c r="D173" s="1" t="s">
        <v>612</v>
      </c>
      <c r="E173" s="1"/>
      <c r="F173" s="1" t="s">
        <v>84</v>
      </c>
      <c r="G173" s="1" t="s">
        <v>3111</v>
      </c>
    </row>
    <row r="174" spans="1:7">
      <c r="A174" s="1" t="s">
        <v>579</v>
      </c>
      <c r="B174" s="1" t="s">
        <v>81</v>
      </c>
      <c r="C174" s="1" t="s">
        <v>616</v>
      </c>
      <c r="D174" s="1" t="s">
        <v>154</v>
      </c>
      <c r="E174" s="1"/>
      <c r="F174" s="1"/>
      <c r="G174" s="1" t="s">
        <v>3053</v>
      </c>
    </row>
    <row r="175" spans="1:7">
      <c r="A175" s="1" t="s">
        <v>580</v>
      </c>
      <c r="B175" s="1" t="s">
        <v>81</v>
      </c>
      <c r="C175" s="1" t="s">
        <v>310</v>
      </c>
      <c r="D175" s="1" t="s">
        <v>618</v>
      </c>
      <c r="E175" s="1"/>
      <c r="F175" s="1" t="s">
        <v>84</v>
      </c>
      <c r="G175" s="1" t="s">
        <v>3092</v>
      </c>
    </row>
    <row r="176" spans="1:7">
      <c r="A176" s="1" t="s">
        <v>583</v>
      </c>
      <c r="B176" s="1" t="s">
        <v>81</v>
      </c>
      <c r="C176" s="1" t="s">
        <v>420</v>
      </c>
      <c r="D176" s="1" t="s">
        <v>328</v>
      </c>
      <c r="E176" s="1" t="s">
        <v>620</v>
      </c>
      <c r="F176" s="1" t="s">
        <v>84</v>
      </c>
      <c r="G176" s="1" t="s">
        <v>3112</v>
      </c>
    </row>
    <row r="177" spans="1:7">
      <c r="A177" s="1" t="s">
        <v>585</v>
      </c>
      <c r="B177" s="1" t="s">
        <v>81</v>
      </c>
      <c r="C177" s="1" t="s">
        <v>624</v>
      </c>
      <c r="D177" s="1" t="s">
        <v>262</v>
      </c>
      <c r="E177" s="1" t="s">
        <v>625</v>
      </c>
      <c r="F177" s="1" t="s">
        <v>84</v>
      </c>
      <c r="G177" s="1" t="s">
        <v>3113</v>
      </c>
    </row>
    <row r="178" spans="1:7">
      <c r="A178" s="1" t="s">
        <v>587</v>
      </c>
      <c r="B178" s="1" t="s">
        <v>81</v>
      </c>
      <c r="C178" s="1" t="s">
        <v>629</v>
      </c>
      <c r="D178" s="1" t="s">
        <v>630</v>
      </c>
      <c r="E178" s="1"/>
      <c r="F178" s="1" t="s">
        <v>84</v>
      </c>
      <c r="G178" s="1" t="s">
        <v>3082</v>
      </c>
    </row>
    <row r="179" spans="1:7">
      <c r="A179" s="1" t="s">
        <v>589</v>
      </c>
      <c r="B179" s="1" t="s">
        <v>81</v>
      </c>
      <c r="C179" s="1" t="s">
        <v>420</v>
      </c>
      <c r="D179" s="1" t="s">
        <v>632</v>
      </c>
      <c r="E179" s="1"/>
      <c r="F179" s="1" t="s">
        <v>84</v>
      </c>
      <c r="G179" s="1" t="s">
        <v>3079</v>
      </c>
    </row>
    <row r="180" spans="1:7">
      <c r="A180" s="1" t="s">
        <v>593</v>
      </c>
      <c r="B180" s="1" t="s">
        <v>81</v>
      </c>
      <c r="C180" s="1" t="s">
        <v>634</v>
      </c>
      <c r="D180" s="1" t="s">
        <v>343</v>
      </c>
      <c r="E180" s="1"/>
      <c r="F180" s="1" t="s">
        <v>84</v>
      </c>
      <c r="G180" s="1" t="s">
        <v>3077</v>
      </c>
    </row>
    <row r="181" spans="1:7">
      <c r="A181" s="1" t="s">
        <v>594</v>
      </c>
      <c r="B181" s="1" t="s">
        <v>81</v>
      </c>
      <c r="C181" s="1" t="s">
        <v>133</v>
      </c>
      <c r="D181" s="1" t="s">
        <v>134</v>
      </c>
      <c r="E181" s="1" t="s">
        <v>636</v>
      </c>
      <c r="F181" s="1" t="s">
        <v>84</v>
      </c>
      <c r="G181" s="1" t="s">
        <v>3049</v>
      </c>
    </row>
    <row r="182" spans="1:7">
      <c r="A182" s="1" t="s">
        <v>595</v>
      </c>
      <c r="B182" s="1" t="s">
        <v>81</v>
      </c>
      <c r="C182" s="1" t="s">
        <v>638</v>
      </c>
      <c r="D182" s="1" t="s">
        <v>639</v>
      </c>
      <c r="E182" s="1"/>
      <c r="F182" s="1" t="s">
        <v>84</v>
      </c>
      <c r="G182" s="1" t="s">
        <v>3114</v>
      </c>
    </row>
    <row r="183" spans="1:7">
      <c r="A183" s="1" t="s">
        <v>597</v>
      </c>
      <c r="B183" s="1" t="s">
        <v>81</v>
      </c>
      <c r="C183" s="1" t="s">
        <v>82</v>
      </c>
      <c r="D183" s="1" t="s">
        <v>643</v>
      </c>
      <c r="E183" s="1"/>
      <c r="F183" s="1" t="s">
        <v>84</v>
      </c>
      <c r="G183" s="1" t="s">
        <v>3041</v>
      </c>
    </row>
    <row r="184" spans="1:7">
      <c r="A184" s="1" t="s">
        <v>603</v>
      </c>
      <c r="B184" s="1" t="s">
        <v>81</v>
      </c>
      <c r="C184" s="1" t="s">
        <v>175</v>
      </c>
      <c r="D184" s="1" t="s">
        <v>89</v>
      </c>
      <c r="E184" s="1" t="s">
        <v>158</v>
      </c>
      <c r="F184" s="1" t="s">
        <v>84</v>
      </c>
      <c r="G184" s="1" t="s">
        <v>3042</v>
      </c>
    </row>
    <row r="185" spans="1:7">
      <c r="A185" s="1" t="s">
        <v>608</v>
      </c>
      <c r="B185" s="1" t="s">
        <v>81</v>
      </c>
      <c r="C185" s="1" t="s">
        <v>624</v>
      </c>
      <c r="D185" s="1" t="s">
        <v>129</v>
      </c>
      <c r="E185" s="1"/>
      <c r="F185" s="1" t="s">
        <v>84</v>
      </c>
      <c r="G185" s="1" t="s">
        <v>3048</v>
      </c>
    </row>
    <row r="186" spans="1:7">
      <c r="A186" s="1" t="s">
        <v>610</v>
      </c>
      <c r="B186" s="1" t="s">
        <v>81</v>
      </c>
      <c r="C186" s="1" t="s">
        <v>647</v>
      </c>
      <c r="D186" s="1" t="s">
        <v>154</v>
      </c>
      <c r="E186" s="1"/>
      <c r="F186" s="1"/>
      <c r="G186" s="1" t="s">
        <v>3053</v>
      </c>
    </row>
    <row r="187" spans="1:7">
      <c r="A187" s="1" t="s">
        <v>615</v>
      </c>
      <c r="B187" s="1" t="s">
        <v>81</v>
      </c>
      <c r="C187" s="1" t="s">
        <v>649</v>
      </c>
      <c r="D187" s="1" t="s">
        <v>180</v>
      </c>
      <c r="E187" s="1"/>
      <c r="F187" s="1"/>
      <c r="G187" s="1" t="s">
        <v>3053</v>
      </c>
    </row>
    <row r="188" spans="1:7">
      <c r="A188" s="1" t="s">
        <v>617</v>
      </c>
      <c r="B188" s="1" t="s">
        <v>81</v>
      </c>
      <c r="C188" s="1" t="s">
        <v>420</v>
      </c>
      <c r="D188" s="1" t="s">
        <v>653</v>
      </c>
      <c r="E188" s="1"/>
      <c r="F188" s="1" t="s">
        <v>84</v>
      </c>
      <c r="G188" s="1" t="s">
        <v>3115</v>
      </c>
    </row>
    <row r="189" spans="1:7">
      <c r="A189" s="1" t="s">
        <v>619</v>
      </c>
      <c r="B189" s="1" t="s">
        <v>81</v>
      </c>
      <c r="C189" s="1" t="s">
        <v>111</v>
      </c>
      <c r="D189" s="1" t="s">
        <v>574</v>
      </c>
      <c r="E189" s="1"/>
      <c r="F189" s="1" t="s">
        <v>84</v>
      </c>
      <c r="G189" s="1" t="s">
        <v>3105</v>
      </c>
    </row>
    <row r="190" spans="1:7">
      <c r="A190" s="1" t="s">
        <v>623</v>
      </c>
      <c r="B190" s="1" t="s">
        <v>81</v>
      </c>
      <c r="C190" s="1" t="s">
        <v>366</v>
      </c>
      <c r="D190" s="1" t="s">
        <v>658</v>
      </c>
      <c r="E190" s="1"/>
      <c r="F190" s="1" t="s">
        <v>84</v>
      </c>
      <c r="G190" s="1" t="s">
        <v>3116</v>
      </c>
    </row>
    <row r="191" spans="1:7">
      <c r="A191" s="1" t="s">
        <v>628</v>
      </c>
      <c r="B191" s="1" t="s">
        <v>81</v>
      </c>
      <c r="C191" s="1" t="s">
        <v>624</v>
      </c>
      <c r="D191" s="1" t="s">
        <v>262</v>
      </c>
      <c r="E191" s="1" t="s">
        <v>322</v>
      </c>
      <c r="F191" s="1" t="s">
        <v>84</v>
      </c>
      <c r="G191" s="1" t="s">
        <v>3074</v>
      </c>
    </row>
    <row r="192" spans="1:7">
      <c r="A192" s="1" t="s">
        <v>631</v>
      </c>
      <c r="B192" s="1" t="s">
        <v>81</v>
      </c>
      <c r="C192" s="1" t="s">
        <v>665</v>
      </c>
      <c r="D192" s="1" t="s">
        <v>666</v>
      </c>
      <c r="E192" s="1" t="s">
        <v>329</v>
      </c>
      <c r="F192" s="1" t="s">
        <v>84</v>
      </c>
      <c r="G192" s="1" t="s">
        <v>3075</v>
      </c>
    </row>
    <row r="193" spans="1:7">
      <c r="A193" s="1" t="s">
        <v>633</v>
      </c>
      <c r="B193" s="1" t="s">
        <v>81</v>
      </c>
      <c r="C193" s="1" t="s">
        <v>88</v>
      </c>
      <c r="D193" s="1" t="s">
        <v>668</v>
      </c>
      <c r="E193" s="1"/>
      <c r="F193" s="1" t="s">
        <v>84</v>
      </c>
      <c r="G193" s="1" t="s">
        <v>3086</v>
      </c>
    </row>
    <row r="194" spans="1:7">
      <c r="A194" s="1" t="s">
        <v>635</v>
      </c>
      <c r="B194" s="1" t="s">
        <v>81</v>
      </c>
      <c r="C194" s="1" t="s">
        <v>670</v>
      </c>
      <c r="D194" s="1" t="s">
        <v>671</v>
      </c>
      <c r="E194" s="1"/>
      <c r="F194" s="1"/>
      <c r="G194" s="1" t="s">
        <v>3117</v>
      </c>
    </row>
    <row r="195" spans="1:7">
      <c r="A195" s="1" t="s">
        <v>637</v>
      </c>
      <c r="B195" s="1" t="s">
        <v>81</v>
      </c>
      <c r="C195" s="1" t="s">
        <v>111</v>
      </c>
      <c r="D195" s="1" t="s">
        <v>668</v>
      </c>
      <c r="E195" s="1"/>
      <c r="F195" s="1" t="s">
        <v>84</v>
      </c>
      <c r="G195" s="1" t="s">
        <v>3086</v>
      </c>
    </row>
    <row r="196" spans="1:7">
      <c r="A196" s="1" t="s">
        <v>642</v>
      </c>
      <c r="B196" s="1" t="s">
        <v>81</v>
      </c>
      <c r="C196" s="1" t="s">
        <v>676</v>
      </c>
      <c r="D196" s="1" t="s">
        <v>639</v>
      </c>
      <c r="E196" s="1"/>
      <c r="F196" s="1" t="s">
        <v>84</v>
      </c>
      <c r="G196" s="1" t="s">
        <v>3114</v>
      </c>
    </row>
    <row r="197" spans="1:7">
      <c r="A197" s="1" t="s">
        <v>644</v>
      </c>
      <c r="B197" s="1" t="s">
        <v>81</v>
      </c>
      <c r="C197" s="1" t="s">
        <v>82</v>
      </c>
      <c r="D197" s="1" t="s">
        <v>679</v>
      </c>
      <c r="E197" s="1"/>
      <c r="F197" s="1" t="s">
        <v>84</v>
      </c>
      <c r="G197" s="1" t="s">
        <v>3041</v>
      </c>
    </row>
    <row r="198" spans="1:7">
      <c r="A198" s="1" t="s">
        <v>645</v>
      </c>
      <c r="B198" s="1" t="s">
        <v>81</v>
      </c>
      <c r="C198" s="1" t="s">
        <v>651</v>
      </c>
      <c r="D198" s="1" t="s">
        <v>373</v>
      </c>
      <c r="E198" s="1"/>
      <c r="F198" s="1" t="s">
        <v>84</v>
      </c>
      <c r="G198" s="1" t="s">
        <v>3082</v>
      </c>
    </row>
    <row r="199" spans="1:7">
      <c r="A199" s="1" t="s">
        <v>646</v>
      </c>
      <c r="B199" s="1" t="s">
        <v>81</v>
      </c>
      <c r="C199" s="1" t="s">
        <v>624</v>
      </c>
      <c r="D199" s="1" t="s">
        <v>262</v>
      </c>
      <c r="E199" s="1"/>
      <c r="F199" s="1" t="s">
        <v>84</v>
      </c>
      <c r="G199" s="1" t="s">
        <v>3065</v>
      </c>
    </row>
    <row r="200" spans="1:7">
      <c r="A200" s="1" t="s">
        <v>648</v>
      </c>
      <c r="B200" s="1" t="s">
        <v>81</v>
      </c>
      <c r="C200" s="1" t="s">
        <v>82</v>
      </c>
      <c r="D200" s="1" t="s">
        <v>683</v>
      </c>
      <c r="E200" s="1"/>
      <c r="F200" s="1" t="s">
        <v>84</v>
      </c>
      <c r="G200" s="1" t="s">
        <v>3041</v>
      </c>
    </row>
    <row r="201" spans="1:7">
      <c r="A201" s="1" t="s">
        <v>650</v>
      </c>
      <c r="B201" s="1" t="s">
        <v>81</v>
      </c>
      <c r="C201" s="1" t="s">
        <v>688</v>
      </c>
      <c r="D201" s="1" t="s">
        <v>689</v>
      </c>
      <c r="E201" s="1"/>
      <c r="F201" s="1" t="s">
        <v>84</v>
      </c>
      <c r="G201" s="1" t="s">
        <v>3118</v>
      </c>
    </row>
    <row r="202" spans="1:7">
      <c r="A202" s="1" t="s">
        <v>652</v>
      </c>
      <c r="B202" s="1" t="s">
        <v>81</v>
      </c>
      <c r="C202" s="1" t="s">
        <v>693</v>
      </c>
      <c r="D202" s="1" t="s">
        <v>694</v>
      </c>
      <c r="E202" s="1"/>
      <c r="F202" s="1"/>
      <c r="G202" s="1" t="s">
        <v>3119</v>
      </c>
    </row>
    <row r="203" spans="1:7">
      <c r="A203" s="1" t="s">
        <v>656</v>
      </c>
      <c r="B203" s="1" t="s">
        <v>81</v>
      </c>
      <c r="C203" s="1" t="s">
        <v>696</v>
      </c>
      <c r="D203" s="1" t="s">
        <v>697</v>
      </c>
      <c r="E203" s="1"/>
      <c r="F203" s="1" t="s">
        <v>84</v>
      </c>
      <c r="G203" s="1" t="s">
        <v>3120</v>
      </c>
    </row>
    <row r="204" spans="1:7">
      <c r="A204" s="1" t="s">
        <v>657</v>
      </c>
      <c r="B204" s="1" t="s">
        <v>81</v>
      </c>
      <c r="C204" s="1" t="s">
        <v>270</v>
      </c>
      <c r="D204" s="1" t="s">
        <v>271</v>
      </c>
      <c r="E204" s="1" t="s">
        <v>701</v>
      </c>
      <c r="F204" s="1" t="s">
        <v>84</v>
      </c>
      <c r="G204" s="1" t="s">
        <v>3067</v>
      </c>
    </row>
    <row r="205" spans="1:7">
      <c r="A205" s="1" t="s">
        <v>661</v>
      </c>
      <c r="B205" s="1" t="s">
        <v>81</v>
      </c>
      <c r="C205" s="1" t="s">
        <v>128</v>
      </c>
      <c r="D205" s="1" t="s">
        <v>206</v>
      </c>
      <c r="E205" s="1" t="s">
        <v>703</v>
      </c>
      <c r="F205" s="1" t="s">
        <v>84</v>
      </c>
      <c r="G205" s="1" t="s">
        <v>3113</v>
      </c>
    </row>
    <row r="206" spans="1:7">
      <c r="A206" s="1" t="s">
        <v>663</v>
      </c>
      <c r="B206" s="1" t="s">
        <v>81</v>
      </c>
      <c r="C206" s="1" t="s">
        <v>88</v>
      </c>
      <c r="D206" s="1" t="s">
        <v>259</v>
      </c>
      <c r="E206" s="1" t="s">
        <v>705</v>
      </c>
      <c r="F206" s="1" t="s">
        <v>84</v>
      </c>
      <c r="G206" s="1" t="s">
        <v>3064</v>
      </c>
    </row>
    <row r="207" spans="1:7">
      <c r="A207" s="1" t="s">
        <v>664</v>
      </c>
      <c r="B207" s="1" t="s">
        <v>81</v>
      </c>
      <c r="C207" s="1" t="s">
        <v>175</v>
      </c>
      <c r="D207" s="1" t="s">
        <v>296</v>
      </c>
      <c r="E207" s="1"/>
      <c r="F207" s="1" t="s">
        <v>84</v>
      </c>
      <c r="G207" s="1" t="s">
        <v>3070</v>
      </c>
    </row>
    <row r="208" spans="1:7">
      <c r="A208" s="1" t="s">
        <v>667</v>
      </c>
      <c r="B208" s="1" t="s">
        <v>81</v>
      </c>
      <c r="C208" s="1" t="s">
        <v>468</v>
      </c>
      <c r="D208" s="1" t="s">
        <v>510</v>
      </c>
      <c r="E208" s="1"/>
      <c r="F208" s="1" t="s">
        <v>84</v>
      </c>
      <c r="G208" s="1" t="s">
        <v>3054</v>
      </c>
    </row>
    <row r="209" spans="1:7">
      <c r="A209" s="1" t="s">
        <v>669</v>
      </c>
      <c r="B209" s="1" t="s">
        <v>81</v>
      </c>
      <c r="C209" s="1" t="s">
        <v>616</v>
      </c>
      <c r="D209" s="1" t="s">
        <v>180</v>
      </c>
      <c r="E209" s="1"/>
      <c r="F209" s="1"/>
      <c r="G209" s="1" t="s">
        <v>3053</v>
      </c>
    </row>
    <row r="210" spans="1:7">
      <c r="A210" s="1" t="s">
        <v>674</v>
      </c>
      <c r="B210" s="1" t="s">
        <v>81</v>
      </c>
      <c r="C210" s="1" t="s">
        <v>246</v>
      </c>
      <c r="D210" s="1" t="s">
        <v>89</v>
      </c>
      <c r="E210" s="1" t="s">
        <v>144</v>
      </c>
      <c r="F210" s="1" t="s">
        <v>84</v>
      </c>
      <c r="G210" s="1" t="s">
        <v>3051</v>
      </c>
    </row>
    <row r="211" spans="1:7">
      <c r="A211" s="1" t="s">
        <v>675</v>
      </c>
      <c r="B211" s="1" t="s">
        <v>81</v>
      </c>
      <c r="C211" s="1" t="s">
        <v>393</v>
      </c>
      <c r="D211" s="1" t="s">
        <v>394</v>
      </c>
      <c r="E211" s="1" t="s">
        <v>711</v>
      </c>
      <c r="F211" s="1" t="s">
        <v>32</v>
      </c>
      <c r="G211" s="1" t="s">
        <v>3121</v>
      </c>
    </row>
    <row r="212" spans="1:7">
      <c r="A212" s="1" t="s">
        <v>677</v>
      </c>
      <c r="B212" s="1" t="s">
        <v>81</v>
      </c>
      <c r="C212" s="1" t="s">
        <v>715</v>
      </c>
      <c r="D212" s="1" t="s">
        <v>716</v>
      </c>
      <c r="E212" s="1"/>
      <c r="F212" s="1" t="s">
        <v>84</v>
      </c>
      <c r="G212" s="1" t="s">
        <v>3071</v>
      </c>
    </row>
    <row r="213" spans="1:7">
      <c r="A213" s="1" t="s">
        <v>678</v>
      </c>
      <c r="B213" s="1" t="s">
        <v>81</v>
      </c>
      <c r="C213" s="1" t="s">
        <v>624</v>
      </c>
      <c r="D213" s="1" t="s">
        <v>262</v>
      </c>
      <c r="E213" s="1" t="s">
        <v>292</v>
      </c>
      <c r="F213" s="1" t="s">
        <v>84</v>
      </c>
      <c r="G213" s="1" t="s">
        <v>3069</v>
      </c>
    </row>
    <row r="214" spans="1:7">
      <c r="A214" s="1" t="s">
        <v>680</v>
      </c>
      <c r="B214" s="1" t="s">
        <v>81</v>
      </c>
      <c r="C214" s="1" t="s">
        <v>624</v>
      </c>
      <c r="D214" s="1" t="s">
        <v>262</v>
      </c>
      <c r="E214" s="1" t="s">
        <v>339</v>
      </c>
      <c r="F214" s="1" t="s">
        <v>84</v>
      </c>
      <c r="G214" s="1" t="s">
        <v>3074</v>
      </c>
    </row>
    <row r="215" spans="1:7">
      <c r="A215" s="1" t="s">
        <v>681</v>
      </c>
      <c r="B215" s="1" t="s">
        <v>81</v>
      </c>
      <c r="C215" s="1" t="s">
        <v>82</v>
      </c>
      <c r="D215" s="1" t="s">
        <v>720</v>
      </c>
      <c r="E215" s="1"/>
      <c r="F215" s="1" t="s">
        <v>84</v>
      </c>
      <c r="G215" s="1" t="s">
        <v>3041</v>
      </c>
    </row>
    <row r="216" spans="1:7">
      <c r="A216" s="1" t="s">
        <v>682</v>
      </c>
      <c r="B216" s="1" t="s">
        <v>81</v>
      </c>
      <c r="C216" s="1" t="s">
        <v>722</v>
      </c>
      <c r="D216" s="1" t="s">
        <v>112</v>
      </c>
      <c r="E216" s="1" t="s">
        <v>113</v>
      </c>
      <c r="F216" s="1" t="s">
        <v>84</v>
      </c>
      <c r="G216" s="1" t="s">
        <v>3046</v>
      </c>
    </row>
    <row r="217" spans="1:7">
      <c r="A217" s="1" t="s">
        <v>684</v>
      </c>
      <c r="B217" s="1" t="s">
        <v>81</v>
      </c>
      <c r="C217" s="1" t="s">
        <v>148</v>
      </c>
      <c r="D217" s="1" t="s">
        <v>605</v>
      </c>
      <c r="E217" s="1"/>
      <c r="F217" s="1"/>
      <c r="G217" s="1" t="s">
        <v>3110</v>
      </c>
    </row>
    <row r="218" spans="1:7">
      <c r="A218" s="1" t="s">
        <v>687</v>
      </c>
      <c r="B218" s="1" t="s">
        <v>81</v>
      </c>
      <c r="C218" s="1" t="s">
        <v>82</v>
      </c>
      <c r="D218" s="1" t="s">
        <v>725</v>
      </c>
      <c r="E218" s="1"/>
      <c r="F218" s="1" t="s">
        <v>84</v>
      </c>
      <c r="G218" s="1" t="s">
        <v>3041</v>
      </c>
    </row>
    <row r="219" spans="1:7">
      <c r="A219" s="1" t="s">
        <v>692</v>
      </c>
      <c r="B219" s="1" t="s">
        <v>81</v>
      </c>
      <c r="C219" s="1" t="s">
        <v>117</v>
      </c>
      <c r="D219" s="1" t="s">
        <v>89</v>
      </c>
      <c r="E219" s="1" t="s">
        <v>727</v>
      </c>
      <c r="F219" s="1" t="s">
        <v>84</v>
      </c>
      <c r="G219" s="1" t="s">
        <v>3122</v>
      </c>
    </row>
    <row r="220" spans="1:7">
      <c r="A220" s="1" t="s">
        <v>695</v>
      </c>
      <c r="B220" s="1" t="s">
        <v>81</v>
      </c>
      <c r="C220" s="1" t="s">
        <v>649</v>
      </c>
      <c r="D220" s="1" t="s">
        <v>154</v>
      </c>
      <c r="E220" s="1"/>
      <c r="F220" s="1"/>
      <c r="G220" s="1" t="s">
        <v>3053</v>
      </c>
    </row>
    <row r="221" spans="1:7">
      <c r="A221" s="1" t="s">
        <v>700</v>
      </c>
      <c r="B221" s="1" t="s">
        <v>81</v>
      </c>
      <c r="C221" s="1" t="s">
        <v>310</v>
      </c>
      <c r="D221" s="1" t="s">
        <v>732</v>
      </c>
      <c r="E221" s="1"/>
      <c r="F221" s="1" t="s">
        <v>84</v>
      </c>
      <c r="G221" s="1" t="s">
        <v>3072</v>
      </c>
    </row>
    <row r="222" spans="1:7">
      <c r="A222" s="1" t="s">
        <v>702</v>
      </c>
      <c r="B222" s="1" t="s">
        <v>81</v>
      </c>
      <c r="C222" s="1" t="s">
        <v>100</v>
      </c>
      <c r="D222" s="1" t="s">
        <v>445</v>
      </c>
      <c r="E222" s="1"/>
      <c r="F222" s="1" t="s">
        <v>84</v>
      </c>
      <c r="G222" s="1" t="s">
        <v>3091</v>
      </c>
    </row>
    <row r="223" spans="1:7">
      <c r="A223" s="1" t="s">
        <v>704</v>
      </c>
      <c r="B223" s="1" t="s">
        <v>81</v>
      </c>
      <c r="C223" s="1" t="s">
        <v>111</v>
      </c>
      <c r="D223" s="1" t="s">
        <v>259</v>
      </c>
      <c r="E223" s="1" t="s">
        <v>705</v>
      </c>
      <c r="F223" s="1" t="s">
        <v>84</v>
      </c>
      <c r="G223" s="1" t="s">
        <v>3064</v>
      </c>
    </row>
    <row r="224" spans="1:7">
      <c r="A224" s="1" t="s">
        <v>706</v>
      </c>
      <c r="B224" s="1" t="s">
        <v>81</v>
      </c>
      <c r="C224" s="1" t="s">
        <v>82</v>
      </c>
      <c r="D224" s="1" t="s">
        <v>736</v>
      </c>
      <c r="E224" s="1"/>
      <c r="F224" s="1" t="s">
        <v>84</v>
      </c>
      <c r="G224" s="1" t="s">
        <v>3041</v>
      </c>
    </row>
    <row r="225" spans="1:7">
      <c r="A225" s="1" t="s">
        <v>707</v>
      </c>
      <c r="B225" s="1" t="s">
        <v>81</v>
      </c>
      <c r="C225" s="1" t="s">
        <v>738</v>
      </c>
      <c r="D225" s="1" t="s">
        <v>739</v>
      </c>
      <c r="E225" s="1"/>
      <c r="F225" s="1" t="s">
        <v>84</v>
      </c>
      <c r="G225" s="1" t="s">
        <v>3123</v>
      </c>
    </row>
    <row r="226" spans="1:7">
      <c r="A226" s="1" t="s">
        <v>708</v>
      </c>
      <c r="B226" s="1" t="s">
        <v>81</v>
      </c>
      <c r="C226" s="1" t="s">
        <v>276</v>
      </c>
      <c r="D226" s="1" t="s">
        <v>277</v>
      </c>
      <c r="E226" s="1" t="s">
        <v>743</v>
      </c>
      <c r="F226" s="1" t="s">
        <v>84</v>
      </c>
      <c r="G226" s="1" t="s">
        <v>3080</v>
      </c>
    </row>
    <row r="227" spans="1:7">
      <c r="A227" s="1" t="s">
        <v>709</v>
      </c>
      <c r="B227" s="1" t="s">
        <v>81</v>
      </c>
      <c r="C227" s="1" t="s">
        <v>745</v>
      </c>
      <c r="D227" s="1" t="s">
        <v>217</v>
      </c>
      <c r="E227" s="1" t="s">
        <v>218</v>
      </c>
      <c r="F227" s="1" t="s">
        <v>219</v>
      </c>
      <c r="G227" s="1" t="s">
        <v>2718</v>
      </c>
    </row>
    <row r="228" spans="1:7">
      <c r="A228" s="1" t="s">
        <v>710</v>
      </c>
      <c r="B228" s="1" t="s">
        <v>81</v>
      </c>
      <c r="C228" s="1" t="s">
        <v>747</v>
      </c>
      <c r="D228" s="1" t="s">
        <v>694</v>
      </c>
      <c r="E228" s="1"/>
      <c r="F228" s="1"/>
      <c r="G228" s="1" t="s">
        <v>3119</v>
      </c>
    </row>
    <row r="229" spans="1:7">
      <c r="A229" s="1" t="s">
        <v>714</v>
      </c>
      <c r="B229" s="1" t="s">
        <v>81</v>
      </c>
      <c r="C229" s="1" t="s">
        <v>749</v>
      </c>
      <c r="D229" s="1" t="s">
        <v>750</v>
      </c>
      <c r="E229" s="1" t="s">
        <v>751</v>
      </c>
      <c r="F229" s="1" t="s">
        <v>84</v>
      </c>
      <c r="G229" s="1" t="s">
        <v>3118</v>
      </c>
    </row>
    <row r="230" spans="1:7">
      <c r="A230" s="1" t="s">
        <v>717</v>
      </c>
      <c r="B230" s="1" t="s">
        <v>81</v>
      </c>
      <c r="C230" s="1" t="s">
        <v>175</v>
      </c>
      <c r="D230" s="1" t="s">
        <v>89</v>
      </c>
      <c r="E230" s="1" t="s">
        <v>144</v>
      </c>
      <c r="F230" s="1" t="s">
        <v>84</v>
      </c>
      <c r="G230" s="1" t="s">
        <v>3051</v>
      </c>
    </row>
    <row r="231" spans="1:7">
      <c r="A231" s="1" t="s">
        <v>718</v>
      </c>
      <c r="B231" s="1" t="s">
        <v>81</v>
      </c>
      <c r="C231" s="1" t="s">
        <v>123</v>
      </c>
      <c r="D231" s="1" t="s">
        <v>756</v>
      </c>
      <c r="E231" s="1"/>
      <c r="F231" s="1" t="s">
        <v>84</v>
      </c>
      <c r="G231" s="1" t="s">
        <v>3047</v>
      </c>
    </row>
    <row r="232" spans="1:7">
      <c r="A232" s="1" t="s">
        <v>719</v>
      </c>
      <c r="B232" s="1" t="s">
        <v>81</v>
      </c>
      <c r="C232" s="1" t="s">
        <v>100</v>
      </c>
      <c r="D232" s="1" t="s">
        <v>228</v>
      </c>
      <c r="E232" s="1"/>
      <c r="F232" s="1" t="s">
        <v>84</v>
      </c>
      <c r="G232" s="1" t="s">
        <v>3044</v>
      </c>
    </row>
    <row r="233" spans="1:7">
      <c r="A233" s="1" t="s">
        <v>721</v>
      </c>
      <c r="B233" s="1" t="s">
        <v>81</v>
      </c>
      <c r="C233" s="1" t="s">
        <v>111</v>
      </c>
      <c r="D233" s="1" t="s">
        <v>759</v>
      </c>
      <c r="E233" s="1"/>
      <c r="F233" s="1" t="s">
        <v>84</v>
      </c>
      <c r="G233" s="1" t="s">
        <v>3124</v>
      </c>
    </row>
    <row r="234" spans="1:7">
      <c r="A234" s="1" t="s">
        <v>723</v>
      </c>
      <c r="B234" s="1" t="s">
        <v>81</v>
      </c>
      <c r="C234" s="1" t="s">
        <v>317</v>
      </c>
      <c r="D234" s="1" t="s">
        <v>763</v>
      </c>
      <c r="E234" s="1"/>
      <c r="F234" s="1" t="s">
        <v>84</v>
      </c>
      <c r="G234" s="1" t="s">
        <v>3125</v>
      </c>
    </row>
    <row r="235" spans="1:7">
      <c r="A235" s="1" t="s">
        <v>724</v>
      </c>
      <c r="B235" s="1" t="s">
        <v>81</v>
      </c>
      <c r="C235" s="1" t="s">
        <v>175</v>
      </c>
      <c r="D235" s="1" t="s">
        <v>89</v>
      </c>
      <c r="E235" s="1" t="s">
        <v>609</v>
      </c>
      <c r="F235" s="1" t="s">
        <v>84</v>
      </c>
      <c r="G235" s="1" t="s">
        <v>3042</v>
      </c>
    </row>
    <row r="236" spans="1:7">
      <c r="A236" s="1" t="s">
        <v>726</v>
      </c>
      <c r="B236" s="1" t="s">
        <v>81</v>
      </c>
      <c r="C236" s="1" t="s">
        <v>123</v>
      </c>
      <c r="D236" s="1" t="s">
        <v>768</v>
      </c>
      <c r="E236" s="1"/>
      <c r="F236" s="1" t="s">
        <v>84</v>
      </c>
      <c r="G236" s="1" t="s">
        <v>3047</v>
      </c>
    </row>
    <row r="237" spans="1:7">
      <c r="A237" s="1" t="s">
        <v>730</v>
      </c>
      <c r="B237" s="1" t="s">
        <v>81</v>
      </c>
      <c r="C237" s="1" t="s">
        <v>770</v>
      </c>
      <c r="D237" s="1" t="s">
        <v>59</v>
      </c>
      <c r="E237" s="1" t="s">
        <v>242</v>
      </c>
      <c r="F237" s="1" t="s">
        <v>32</v>
      </c>
      <c r="G237" s="1" t="s">
        <v>2730</v>
      </c>
    </row>
    <row r="238" spans="1:7">
      <c r="A238" s="1" t="s">
        <v>731</v>
      </c>
      <c r="B238" s="1" t="s">
        <v>81</v>
      </c>
      <c r="C238" s="1" t="s">
        <v>82</v>
      </c>
      <c r="D238" s="1" t="s">
        <v>772</v>
      </c>
      <c r="E238" s="1"/>
      <c r="F238" s="1" t="s">
        <v>84</v>
      </c>
      <c r="G238" s="1" t="s">
        <v>3041</v>
      </c>
    </row>
    <row r="239" spans="1:7">
      <c r="A239" s="1" t="s">
        <v>733</v>
      </c>
      <c r="B239" s="1" t="s">
        <v>81</v>
      </c>
      <c r="C239" s="1" t="s">
        <v>246</v>
      </c>
      <c r="D239" s="1" t="s">
        <v>89</v>
      </c>
      <c r="E239" s="1" t="s">
        <v>368</v>
      </c>
      <c r="F239" s="1"/>
      <c r="G239" s="1" t="s">
        <v>3081</v>
      </c>
    </row>
    <row r="240" spans="1:7">
      <c r="A240" s="1" t="s">
        <v>734</v>
      </c>
      <c r="B240" s="1" t="s">
        <v>81</v>
      </c>
      <c r="C240" s="1" t="s">
        <v>88</v>
      </c>
      <c r="D240" s="1" t="s">
        <v>89</v>
      </c>
      <c r="E240" s="1" t="s">
        <v>191</v>
      </c>
      <c r="F240" s="1" t="s">
        <v>84</v>
      </c>
      <c r="G240" s="1" t="s">
        <v>3042</v>
      </c>
    </row>
    <row r="241" spans="1:7">
      <c r="A241" s="1" t="s">
        <v>735</v>
      </c>
      <c r="B241" s="1" t="s">
        <v>81</v>
      </c>
      <c r="C241" s="1" t="s">
        <v>100</v>
      </c>
      <c r="D241" s="1" t="s">
        <v>166</v>
      </c>
      <c r="E241" s="1"/>
      <c r="F241" s="1" t="s">
        <v>84</v>
      </c>
      <c r="G241" s="1" t="s">
        <v>3091</v>
      </c>
    </row>
    <row r="242" spans="1:7">
      <c r="A242" s="1" t="s">
        <v>737</v>
      </c>
      <c r="B242" s="1" t="s">
        <v>81</v>
      </c>
      <c r="C242" s="1" t="s">
        <v>777</v>
      </c>
      <c r="D242" s="1" t="s">
        <v>778</v>
      </c>
      <c r="E242" s="1"/>
      <c r="F242" s="1" t="s">
        <v>84</v>
      </c>
      <c r="G242" s="1" t="s">
        <v>3049</v>
      </c>
    </row>
    <row r="243" spans="1:7">
      <c r="A243" s="1" t="s">
        <v>742</v>
      </c>
      <c r="B243" s="1" t="s">
        <v>81</v>
      </c>
      <c r="C243" s="1" t="s">
        <v>246</v>
      </c>
      <c r="D243" s="1" t="s">
        <v>89</v>
      </c>
      <c r="E243" s="1" t="s">
        <v>504</v>
      </c>
      <c r="F243" s="1"/>
      <c r="G243" s="1" t="s">
        <v>3099</v>
      </c>
    </row>
    <row r="244" spans="1:7">
      <c r="A244" s="1" t="s">
        <v>744</v>
      </c>
      <c r="B244" s="1" t="s">
        <v>81</v>
      </c>
      <c r="C244" s="1" t="s">
        <v>781</v>
      </c>
      <c r="D244" s="1" t="s">
        <v>782</v>
      </c>
      <c r="E244" s="1"/>
      <c r="F244" s="1"/>
      <c r="G244" s="1" t="s">
        <v>3053</v>
      </c>
    </row>
    <row r="245" spans="1:7">
      <c r="A245" s="1" t="s">
        <v>746</v>
      </c>
      <c r="B245" s="1" t="s">
        <v>81</v>
      </c>
      <c r="C245" s="1" t="s">
        <v>420</v>
      </c>
      <c r="D245" s="1" t="s">
        <v>328</v>
      </c>
      <c r="E245" s="1" t="s">
        <v>329</v>
      </c>
      <c r="F245" s="1" t="s">
        <v>84</v>
      </c>
      <c r="G245" s="1" t="s">
        <v>3075</v>
      </c>
    </row>
    <row r="246" spans="1:7">
      <c r="A246" s="1" t="s">
        <v>748</v>
      </c>
      <c r="B246" s="1" t="s">
        <v>81</v>
      </c>
      <c r="C246" s="1" t="s">
        <v>785</v>
      </c>
      <c r="D246" s="1" t="s">
        <v>786</v>
      </c>
      <c r="E246" s="1"/>
      <c r="F246" s="1"/>
      <c r="G246" s="1" t="s">
        <v>3126</v>
      </c>
    </row>
    <row r="247" spans="1:7">
      <c r="A247" s="1" t="s">
        <v>752</v>
      </c>
      <c r="B247" s="1" t="s">
        <v>81</v>
      </c>
      <c r="C247" s="1" t="s">
        <v>82</v>
      </c>
      <c r="D247" s="1" t="s">
        <v>792</v>
      </c>
      <c r="E247" s="1"/>
      <c r="F247" s="1" t="s">
        <v>84</v>
      </c>
      <c r="G247" s="1" t="s">
        <v>3041</v>
      </c>
    </row>
    <row r="248" spans="1:7">
      <c r="A248" s="1" t="s">
        <v>754</v>
      </c>
      <c r="B248" s="1" t="s">
        <v>81</v>
      </c>
      <c r="C248" s="1" t="s">
        <v>303</v>
      </c>
      <c r="D248" s="1" t="s">
        <v>794</v>
      </c>
      <c r="E248" s="1" t="s">
        <v>795</v>
      </c>
      <c r="F248" s="1" t="s">
        <v>84</v>
      </c>
      <c r="G248" s="1" t="s">
        <v>3127</v>
      </c>
    </row>
    <row r="249" spans="1:7">
      <c r="A249" s="1" t="s">
        <v>755</v>
      </c>
      <c r="B249" s="1" t="s">
        <v>1830</v>
      </c>
      <c r="C249" s="1" t="s">
        <v>8</v>
      </c>
      <c r="D249" s="1" t="s">
        <v>42</v>
      </c>
      <c r="E249" s="1" t="s">
        <v>32</v>
      </c>
      <c r="F249" s="1" t="s">
        <v>2716</v>
      </c>
      <c r="G249" s="1" t="s">
        <v>43</v>
      </c>
    </row>
    <row r="250" spans="1:7">
      <c r="A250" s="1" t="s">
        <v>757</v>
      </c>
      <c r="B250" s="1" t="s">
        <v>1830</v>
      </c>
      <c r="C250" s="1" t="s">
        <v>76</v>
      </c>
      <c r="D250" s="1" t="s">
        <v>8</v>
      </c>
      <c r="E250" s="1" t="s">
        <v>77</v>
      </c>
      <c r="F250" s="1" t="s">
        <v>32</v>
      </c>
      <c r="G250" s="1" t="s">
        <v>2717</v>
      </c>
    </row>
    <row r="251" spans="1:7">
      <c r="A251" s="1" t="s">
        <v>758</v>
      </c>
      <c r="B251" s="1" t="s">
        <v>1830</v>
      </c>
      <c r="C251" s="1" t="s">
        <v>79</v>
      </c>
      <c r="D251" s="1" t="s">
        <v>8</v>
      </c>
      <c r="E251" s="1" t="s">
        <v>77</v>
      </c>
      <c r="F251" s="1" t="s">
        <v>32</v>
      </c>
      <c r="G251" s="1" t="s">
        <v>2717</v>
      </c>
    </row>
    <row r="252" spans="1:7">
      <c r="A252" s="1" t="s">
        <v>762</v>
      </c>
      <c r="B252" s="1" t="s">
        <v>1830</v>
      </c>
      <c r="C252" s="1" t="s">
        <v>74</v>
      </c>
      <c r="D252" s="1" t="s">
        <v>8</v>
      </c>
      <c r="E252" s="1" t="s">
        <v>42</v>
      </c>
      <c r="F252" s="1" t="s">
        <v>32</v>
      </c>
      <c r="G252" s="1" t="s">
        <v>2716</v>
      </c>
    </row>
    <row r="253" spans="1:7">
      <c r="A253" s="1" t="s">
        <v>766</v>
      </c>
      <c r="B253" s="1" t="s">
        <v>1830</v>
      </c>
      <c r="C253" s="1" t="s">
        <v>868</v>
      </c>
      <c r="D253" s="1" t="s">
        <v>8</v>
      </c>
      <c r="E253" s="1" t="s">
        <v>42</v>
      </c>
      <c r="F253" s="1" t="s">
        <v>32</v>
      </c>
      <c r="G253" s="1" t="s">
        <v>2716</v>
      </c>
    </row>
    <row r="254" spans="1:7">
      <c r="A254" s="1" t="s">
        <v>767</v>
      </c>
      <c r="B254" s="1" t="s">
        <v>1830</v>
      </c>
      <c r="C254" s="1" t="s">
        <v>870</v>
      </c>
      <c r="D254" s="1" t="s">
        <v>871</v>
      </c>
      <c r="E254" s="1" t="s">
        <v>77</v>
      </c>
      <c r="F254" s="1" t="s">
        <v>32</v>
      </c>
      <c r="G254" s="1" t="s">
        <v>2717</v>
      </c>
    </row>
    <row r="255" spans="1:7">
      <c r="A255" s="1" t="s">
        <v>769</v>
      </c>
      <c r="B255" s="1" t="s">
        <v>1830</v>
      </c>
      <c r="C255" s="1" t="s">
        <v>873</v>
      </c>
      <c r="D255" s="1" t="s">
        <v>871</v>
      </c>
      <c r="E255" s="1" t="s">
        <v>77</v>
      </c>
      <c r="F255" s="1" t="s">
        <v>32</v>
      </c>
      <c r="G255" s="1" t="s">
        <v>2717</v>
      </c>
    </row>
    <row r="256" spans="1:7">
      <c r="A256" s="1" t="s">
        <v>771</v>
      </c>
      <c r="B256" s="1" t="s">
        <v>1830</v>
      </c>
      <c r="C256" s="1" t="s">
        <v>868</v>
      </c>
      <c r="D256" s="1"/>
      <c r="E256" s="1" t="s">
        <v>218</v>
      </c>
      <c r="F256" s="1" t="s">
        <v>219</v>
      </c>
      <c r="G256" s="1" t="s">
        <v>2718</v>
      </c>
    </row>
    <row r="257" spans="1:7">
      <c r="A257" s="1" t="s">
        <v>773</v>
      </c>
      <c r="B257" s="1" t="s">
        <v>876</v>
      </c>
      <c r="C257" s="1"/>
      <c r="D257" s="1" t="s">
        <v>877</v>
      </c>
      <c r="E257" s="1" t="s">
        <v>66</v>
      </c>
      <c r="F257" s="1" t="s">
        <v>32</v>
      </c>
      <c r="G257" s="1" t="s">
        <v>2719</v>
      </c>
    </row>
    <row r="258" spans="1:7">
      <c r="A258" s="1" t="s">
        <v>774</v>
      </c>
      <c r="B258" s="1" t="s">
        <v>876</v>
      </c>
      <c r="C258" s="1"/>
      <c r="D258" s="1" t="s">
        <v>879</v>
      </c>
      <c r="E258" s="1" t="s">
        <v>880</v>
      </c>
      <c r="F258" s="1" t="s">
        <v>32</v>
      </c>
      <c r="G258" s="1" t="s">
        <v>2720</v>
      </c>
    </row>
    <row r="259" spans="1:7">
      <c r="A259" s="1" t="s">
        <v>775</v>
      </c>
      <c r="B259" s="1" t="s">
        <v>876</v>
      </c>
      <c r="C259" s="1"/>
      <c r="D259" s="1" t="s">
        <v>882</v>
      </c>
      <c r="E259" s="1" t="s">
        <v>66</v>
      </c>
      <c r="F259" s="1" t="s">
        <v>32</v>
      </c>
      <c r="G259" s="1" t="s">
        <v>2719</v>
      </c>
    </row>
    <row r="260" spans="1:7">
      <c r="A260" s="1" t="s">
        <v>776</v>
      </c>
      <c r="B260" s="1" t="s">
        <v>876</v>
      </c>
      <c r="C260" s="1"/>
      <c r="D260" s="1" t="s">
        <v>884</v>
      </c>
      <c r="E260" s="1" t="s">
        <v>31</v>
      </c>
      <c r="F260" s="1" t="s">
        <v>32</v>
      </c>
      <c r="G260" s="1" t="s">
        <v>2721</v>
      </c>
    </row>
    <row r="261" spans="1:7">
      <c r="A261" s="1" t="s">
        <v>779</v>
      </c>
      <c r="B261" s="1" t="s">
        <v>876</v>
      </c>
      <c r="C261" s="1"/>
      <c r="D261" s="1" t="s">
        <v>886</v>
      </c>
      <c r="E261" s="1" t="s">
        <v>66</v>
      </c>
      <c r="F261" s="1" t="s">
        <v>32</v>
      </c>
      <c r="G261" s="1" t="s">
        <v>2719</v>
      </c>
    </row>
    <row r="262" spans="1:7">
      <c r="A262" s="1" t="s">
        <v>780</v>
      </c>
      <c r="B262" s="1" t="s">
        <v>876</v>
      </c>
      <c r="C262" s="1"/>
      <c r="D262" s="1" t="s">
        <v>45</v>
      </c>
      <c r="E262" s="1" t="s">
        <v>42</v>
      </c>
      <c r="F262" s="1" t="s">
        <v>32</v>
      </c>
      <c r="G262" s="1" t="s">
        <v>2716</v>
      </c>
    </row>
    <row r="263" spans="1:7">
      <c r="A263" s="1" t="s">
        <v>783</v>
      </c>
      <c r="B263" s="1" t="s">
        <v>876</v>
      </c>
      <c r="C263" s="1"/>
      <c r="D263" s="1" t="s">
        <v>889</v>
      </c>
      <c r="E263" s="1" t="s">
        <v>890</v>
      </c>
      <c r="F263" s="1" t="s">
        <v>32</v>
      </c>
      <c r="G263" s="1" t="s">
        <v>2722</v>
      </c>
    </row>
    <row r="264" spans="1:7">
      <c r="A264" s="1" t="s">
        <v>784</v>
      </c>
      <c r="B264" s="1" t="s">
        <v>876</v>
      </c>
      <c r="C264" s="1"/>
      <c r="D264" s="1" t="s">
        <v>892</v>
      </c>
      <c r="E264" s="1" t="s">
        <v>880</v>
      </c>
      <c r="F264" s="1" t="s">
        <v>32</v>
      </c>
      <c r="G264" s="1" t="s">
        <v>2720</v>
      </c>
    </row>
    <row r="265" spans="1:7">
      <c r="A265" s="1" t="s">
        <v>789</v>
      </c>
      <c r="B265" s="1" t="s">
        <v>876</v>
      </c>
      <c r="C265" s="1"/>
      <c r="D265" s="1" t="s">
        <v>894</v>
      </c>
      <c r="E265" s="1" t="s">
        <v>880</v>
      </c>
      <c r="F265" s="1" t="s">
        <v>32</v>
      </c>
      <c r="G265" s="1" t="s">
        <v>2720</v>
      </c>
    </row>
    <row r="266" spans="1:7">
      <c r="A266" s="1" t="s">
        <v>791</v>
      </c>
      <c r="B266" s="1" t="s">
        <v>876</v>
      </c>
      <c r="C266" s="1"/>
      <c r="D266" s="1" t="s">
        <v>896</v>
      </c>
      <c r="E266" s="1" t="s">
        <v>66</v>
      </c>
      <c r="F266" s="1" t="s">
        <v>32</v>
      </c>
      <c r="G266" s="1" t="s">
        <v>2719</v>
      </c>
    </row>
    <row r="267" spans="1:7">
      <c r="A267" s="1" t="s">
        <v>793</v>
      </c>
      <c r="B267" s="1" t="s">
        <v>876</v>
      </c>
      <c r="C267" s="1"/>
      <c r="D267" s="1" t="s">
        <v>898</v>
      </c>
      <c r="E267" s="1" t="s">
        <v>66</v>
      </c>
      <c r="F267" s="1" t="s">
        <v>32</v>
      </c>
      <c r="G267" s="1" t="s">
        <v>2719</v>
      </c>
    </row>
    <row r="268" spans="1:7">
      <c r="A268" s="1" t="s">
        <v>798</v>
      </c>
      <c r="B268" s="1" t="s">
        <v>876</v>
      </c>
      <c r="C268" s="1"/>
      <c r="D268" s="1" t="s">
        <v>900</v>
      </c>
      <c r="E268" s="1" t="s">
        <v>66</v>
      </c>
      <c r="F268" s="1" t="s">
        <v>32</v>
      </c>
      <c r="G268" s="1" t="s">
        <v>2719</v>
      </c>
    </row>
    <row r="269" spans="1:7">
      <c r="A269" s="1" t="s">
        <v>799</v>
      </c>
      <c r="B269" s="1" t="s">
        <v>876</v>
      </c>
      <c r="C269" s="1"/>
      <c r="D269" s="1" t="s">
        <v>902</v>
      </c>
      <c r="E269" s="1" t="s">
        <v>66</v>
      </c>
      <c r="F269" s="1" t="s">
        <v>32</v>
      </c>
      <c r="G269" s="1" t="s">
        <v>2719</v>
      </c>
    </row>
    <row r="270" spans="1:7">
      <c r="A270" s="1" t="s">
        <v>800</v>
      </c>
      <c r="B270" s="1" t="s">
        <v>876</v>
      </c>
      <c r="C270" s="1"/>
      <c r="D270" s="1" t="s">
        <v>904</v>
      </c>
      <c r="E270" s="1" t="s">
        <v>66</v>
      </c>
      <c r="F270" s="1" t="s">
        <v>32</v>
      </c>
      <c r="G270" s="1" t="s">
        <v>2719</v>
      </c>
    </row>
    <row r="271" spans="1:7">
      <c r="A271" s="1" t="s">
        <v>804</v>
      </c>
      <c r="B271" s="1" t="s">
        <v>876</v>
      </c>
      <c r="C271" s="1"/>
      <c r="D271" s="1" t="s">
        <v>906</v>
      </c>
      <c r="E271" s="1" t="s">
        <v>66</v>
      </c>
      <c r="F271" s="1" t="s">
        <v>32</v>
      </c>
      <c r="G271" s="1" t="s">
        <v>2719</v>
      </c>
    </row>
    <row r="272" spans="1:7">
      <c r="A272" s="1" t="s">
        <v>806</v>
      </c>
      <c r="B272" s="1" t="s">
        <v>876</v>
      </c>
      <c r="C272" s="1"/>
      <c r="D272" s="1" t="s">
        <v>910</v>
      </c>
      <c r="E272" s="1" t="s">
        <v>890</v>
      </c>
      <c r="F272" s="1" t="s">
        <v>32</v>
      </c>
      <c r="G272" s="1" t="s">
        <v>2722</v>
      </c>
    </row>
    <row r="273" spans="1:7">
      <c r="A273" s="1" t="s">
        <v>809</v>
      </c>
      <c r="B273" s="1" t="s">
        <v>876</v>
      </c>
      <c r="C273" s="1"/>
      <c r="D273" s="1" t="s">
        <v>912</v>
      </c>
      <c r="E273" s="1" t="s">
        <v>66</v>
      </c>
      <c r="F273" s="1" t="s">
        <v>32</v>
      </c>
      <c r="G273" s="1" t="s">
        <v>2719</v>
      </c>
    </row>
    <row r="274" spans="1:7">
      <c r="A274" s="1" t="s">
        <v>811</v>
      </c>
      <c r="B274" s="1" t="s">
        <v>876</v>
      </c>
      <c r="C274" s="1"/>
      <c r="D274" s="1" t="s">
        <v>914</v>
      </c>
      <c r="E274" s="1" t="s">
        <v>66</v>
      </c>
      <c r="F274" s="1" t="s">
        <v>32</v>
      </c>
      <c r="G274" s="1" t="s">
        <v>2719</v>
      </c>
    </row>
    <row r="275" spans="1:7">
      <c r="A275" s="1" t="s">
        <v>812</v>
      </c>
      <c r="B275" s="1" t="s">
        <v>876</v>
      </c>
      <c r="C275" s="1"/>
      <c r="D275" s="1" t="s">
        <v>916</v>
      </c>
      <c r="E275" s="1" t="s">
        <v>66</v>
      </c>
      <c r="F275" s="1" t="s">
        <v>32</v>
      </c>
      <c r="G275" s="1" t="s">
        <v>2719</v>
      </c>
    </row>
    <row r="276" spans="1:7">
      <c r="A276" s="1" t="s">
        <v>814</v>
      </c>
      <c r="B276" s="1" t="s">
        <v>876</v>
      </c>
      <c r="C276" s="1"/>
      <c r="D276" s="1" t="s">
        <v>918</v>
      </c>
      <c r="E276" s="1" t="s">
        <v>66</v>
      </c>
      <c r="F276" s="1" t="s">
        <v>32</v>
      </c>
      <c r="G276" s="1" t="s">
        <v>2719</v>
      </c>
    </row>
    <row r="277" spans="1:7">
      <c r="A277" s="1" t="s">
        <v>816</v>
      </c>
      <c r="B277" s="1" t="s">
        <v>876</v>
      </c>
      <c r="C277" s="1"/>
      <c r="D277" s="1" t="s">
        <v>920</v>
      </c>
      <c r="E277" s="1" t="s">
        <v>66</v>
      </c>
      <c r="F277" s="1" t="s">
        <v>32</v>
      </c>
      <c r="G277" s="1" t="s">
        <v>2719</v>
      </c>
    </row>
    <row r="278" spans="1:7">
      <c r="A278" s="1" t="s">
        <v>817</v>
      </c>
      <c r="B278" s="1" t="s">
        <v>876</v>
      </c>
      <c r="C278" s="1"/>
      <c r="D278" s="1" t="s">
        <v>922</v>
      </c>
      <c r="E278" s="1" t="s">
        <v>880</v>
      </c>
      <c r="F278" s="1" t="s">
        <v>32</v>
      </c>
      <c r="G278" s="1" t="s">
        <v>2720</v>
      </c>
    </row>
    <row r="279" spans="1:7">
      <c r="A279" s="1" t="s">
        <v>818</v>
      </c>
      <c r="B279" s="1" t="s">
        <v>876</v>
      </c>
      <c r="C279" s="1"/>
      <c r="D279" s="1" t="s">
        <v>898</v>
      </c>
      <c r="E279" s="1" t="s">
        <v>890</v>
      </c>
      <c r="F279" s="1" t="s">
        <v>32</v>
      </c>
      <c r="G279" s="1" t="s">
        <v>2722</v>
      </c>
    </row>
    <row r="280" spans="1:7">
      <c r="A280" s="1" t="s">
        <v>823</v>
      </c>
      <c r="B280" s="1" t="s">
        <v>876</v>
      </c>
      <c r="C280" s="1"/>
      <c r="D280" s="1" t="s">
        <v>925</v>
      </c>
      <c r="E280" s="1" t="s">
        <v>66</v>
      </c>
      <c r="F280" s="1" t="s">
        <v>32</v>
      </c>
      <c r="G280" s="1" t="s">
        <v>2719</v>
      </c>
    </row>
    <row r="281" spans="1:7">
      <c r="A281" s="1" t="s">
        <v>824</v>
      </c>
      <c r="B281" s="1" t="s">
        <v>876</v>
      </c>
      <c r="C281" s="1"/>
      <c r="D281" s="1" t="s">
        <v>927</v>
      </c>
      <c r="E281" s="1" t="s">
        <v>66</v>
      </c>
      <c r="F281" s="1" t="s">
        <v>32</v>
      </c>
      <c r="G281" s="1" t="s">
        <v>2719</v>
      </c>
    </row>
    <row r="282" spans="1:7">
      <c r="A282" s="1" t="s">
        <v>826</v>
      </c>
      <c r="B282" s="1" t="s">
        <v>876</v>
      </c>
      <c r="C282" s="1"/>
      <c r="D282" s="1" t="s">
        <v>929</v>
      </c>
      <c r="E282" s="1" t="s">
        <v>930</v>
      </c>
      <c r="F282" s="1" t="s">
        <v>32</v>
      </c>
      <c r="G282" s="1" t="s">
        <v>2723</v>
      </c>
    </row>
    <row r="283" spans="1:7">
      <c r="A283" s="1" t="s">
        <v>827</v>
      </c>
      <c r="B283" s="1" t="s">
        <v>876</v>
      </c>
      <c r="C283" s="1"/>
      <c r="D283" s="1" t="s">
        <v>934</v>
      </c>
      <c r="E283" s="1" t="s">
        <v>890</v>
      </c>
      <c r="F283" s="1" t="s">
        <v>32</v>
      </c>
      <c r="G283" s="1" t="s">
        <v>2722</v>
      </c>
    </row>
    <row r="284" spans="1:7">
      <c r="A284" s="1" t="s">
        <v>828</v>
      </c>
      <c r="B284" s="1" t="s">
        <v>876</v>
      </c>
      <c r="C284" s="1"/>
      <c r="D284" s="1" t="s">
        <v>906</v>
      </c>
      <c r="E284" s="1" t="s">
        <v>890</v>
      </c>
      <c r="F284" s="1" t="s">
        <v>32</v>
      </c>
      <c r="G284" s="1" t="s">
        <v>2722</v>
      </c>
    </row>
    <row r="285" spans="1:7">
      <c r="A285" s="1" t="s">
        <v>830</v>
      </c>
      <c r="B285" s="1" t="s">
        <v>876</v>
      </c>
      <c r="C285" s="1"/>
      <c r="D285" s="1" t="s">
        <v>937</v>
      </c>
      <c r="E285" s="1" t="s">
        <v>66</v>
      </c>
      <c r="F285" s="1" t="s">
        <v>32</v>
      </c>
      <c r="G285" s="1" t="s">
        <v>2719</v>
      </c>
    </row>
    <row r="286" spans="1:7">
      <c r="A286" s="1" t="s">
        <v>836</v>
      </c>
      <c r="B286" s="1" t="s">
        <v>876</v>
      </c>
      <c r="C286" s="1"/>
      <c r="D286" s="1" t="s">
        <v>939</v>
      </c>
      <c r="E286" s="1" t="s">
        <v>940</v>
      </c>
      <c r="F286" s="1" t="s">
        <v>32</v>
      </c>
      <c r="G286" s="1" t="s">
        <v>2724</v>
      </c>
    </row>
    <row r="287" spans="1:7">
      <c r="A287" s="1" t="s">
        <v>838</v>
      </c>
      <c r="B287" s="1" t="s">
        <v>876</v>
      </c>
      <c r="C287" s="1"/>
      <c r="D287" s="1" t="s">
        <v>942</v>
      </c>
      <c r="E287" s="1" t="s">
        <v>880</v>
      </c>
      <c r="F287" s="1" t="s">
        <v>32</v>
      </c>
      <c r="G287" s="1" t="s">
        <v>2720</v>
      </c>
    </row>
    <row r="288" spans="1:7">
      <c r="A288" s="1" t="s">
        <v>839</v>
      </c>
      <c r="B288" s="1" t="s">
        <v>876</v>
      </c>
      <c r="C288" s="1"/>
      <c r="D288" s="1" t="s">
        <v>944</v>
      </c>
      <c r="E288" s="1" t="s">
        <v>880</v>
      </c>
      <c r="F288" s="1" t="s">
        <v>32</v>
      </c>
      <c r="G288" s="1" t="s">
        <v>2720</v>
      </c>
    </row>
    <row r="289" spans="1:7">
      <c r="A289" s="1" t="s">
        <v>841</v>
      </c>
      <c r="B289" s="1" t="s">
        <v>876</v>
      </c>
      <c r="C289" s="1"/>
      <c r="D289" s="1" t="s">
        <v>946</v>
      </c>
      <c r="E289" s="1" t="s">
        <v>940</v>
      </c>
      <c r="F289" s="1" t="s">
        <v>32</v>
      </c>
      <c r="G289" s="1" t="s">
        <v>2724</v>
      </c>
    </row>
    <row r="290" spans="1:7">
      <c r="A290" s="1" t="s">
        <v>845</v>
      </c>
      <c r="B290" s="1" t="s">
        <v>876</v>
      </c>
      <c r="C290" s="1"/>
      <c r="D290" s="1" t="s">
        <v>948</v>
      </c>
      <c r="E290" s="1" t="s">
        <v>880</v>
      </c>
      <c r="F290" s="1" t="s">
        <v>32</v>
      </c>
      <c r="G290" s="1" t="s">
        <v>2720</v>
      </c>
    </row>
    <row r="291" spans="1:7">
      <c r="A291" s="1" t="s">
        <v>848</v>
      </c>
      <c r="B291" s="1" t="s">
        <v>876</v>
      </c>
      <c r="C291" s="1"/>
      <c r="D291" s="1" t="s">
        <v>910</v>
      </c>
      <c r="E291" s="1" t="s">
        <v>66</v>
      </c>
      <c r="F291" s="1" t="s">
        <v>32</v>
      </c>
      <c r="G291" s="1" t="s">
        <v>2719</v>
      </c>
    </row>
    <row r="292" spans="1:7">
      <c r="A292" s="1" t="s">
        <v>850</v>
      </c>
      <c r="B292" s="1" t="s">
        <v>876</v>
      </c>
      <c r="C292" s="1"/>
      <c r="D292" s="1" t="s">
        <v>902</v>
      </c>
      <c r="E292" s="1" t="s">
        <v>890</v>
      </c>
      <c r="F292" s="1" t="s">
        <v>32</v>
      </c>
      <c r="G292" s="1" t="s">
        <v>2722</v>
      </c>
    </row>
    <row r="293" spans="1:7">
      <c r="A293" s="1" t="s">
        <v>852</v>
      </c>
      <c r="B293" s="1" t="s">
        <v>876</v>
      </c>
      <c r="C293" s="1"/>
      <c r="D293" s="1" t="s">
        <v>954</v>
      </c>
      <c r="E293" s="1" t="s">
        <v>890</v>
      </c>
      <c r="F293" s="1" t="s">
        <v>32</v>
      </c>
      <c r="G293" s="1" t="s">
        <v>2722</v>
      </c>
    </row>
    <row r="294" spans="1:7">
      <c r="A294" s="1" t="s">
        <v>854</v>
      </c>
      <c r="B294" s="1" t="s">
        <v>876</v>
      </c>
      <c r="C294" s="1"/>
      <c r="D294" s="1" t="s">
        <v>956</v>
      </c>
      <c r="E294" s="1" t="s">
        <v>880</v>
      </c>
      <c r="F294" s="1" t="s">
        <v>32</v>
      </c>
      <c r="G294" s="1" t="s">
        <v>2720</v>
      </c>
    </row>
    <row r="295" spans="1:7">
      <c r="A295" s="1" t="s">
        <v>855</v>
      </c>
      <c r="B295" s="1" t="s">
        <v>876</v>
      </c>
      <c r="C295" s="1"/>
      <c r="D295" s="1" t="s">
        <v>958</v>
      </c>
      <c r="E295" s="1" t="s">
        <v>31</v>
      </c>
      <c r="F295" s="1" t="s">
        <v>32</v>
      </c>
      <c r="G295" s="1" t="s">
        <v>2721</v>
      </c>
    </row>
    <row r="296" spans="1:7">
      <c r="A296" s="1" t="s">
        <v>858</v>
      </c>
      <c r="B296" s="1" t="s">
        <v>876</v>
      </c>
      <c r="C296" s="1"/>
      <c r="D296" s="1" t="s">
        <v>960</v>
      </c>
      <c r="E296" s="1" t="s">
        <v>880</v>
      </c>
      <c r="F296" s="1" t="s">
        <v>32</v>
      </c>
      <c r="G296" s="1" t="s">
        <v>2720</v>
      </c>
    </row>
    <row r="297" spans="1:7">
      <c r="A297" s="1" t="s">
        <v>859</v>
      </c>
      <c r="B297" s="1" t="s">
        <v>876</v>
      </c>
      <c r="C297" s="1"/>
      <c r="D297" s="1" t="s">
        <v>962</v>
      </c>
      <c r="E297" s="1" t="s">
        <v>880</v>
      </c>
      <c r="F297" s="1" t="s">
        <v>32</v>
      </c>
      <c r="G297" s="1" t="s">
        <v>2720</v>
      </c>
    </row>
    <row r="298" spans="1:7">
      <c r="A298" s="1" t="s">
        <v>861</v>
      </c>
      <c r="B298" s="1" t="s">
        <v>876</v>
      </c>
      <c r="C298" s="1"/>
      <c r="D298" s="1" t="s">
        <v>964</v>
      </c>
      <c r="E298" s="1" t="s">
        <v>880</v>
      </c>
      <c r="F298" s="1" t="s">
        <v>32</v>
      </c>
      <c r="G298" s="1" t="s">
        <v>2720</v>
      </c>
    </row>
    <row r="299" spans="1:7">
      <c r="A299" s="1" t="s">
        <v>863</v>
      </c>
      <c r="B299" s="1" t="s">
        <v>876</v>
      </c>
      <c r="C299" s="1"/>
      <c r="D299" s="1" t="s">
        <v>966</v>
      </c>
      <c r="E299" s="1" t="s">
        <v>66</v>
      </c>
      <c r="F299" s="1" t="s">
        <v>32</v>
      </c>
      <c r="G299" s="1" t="s">
        <v>2719</v>
      </c>
    </row>
    <row r="300" spans="1:7">
      <c r="A300" s="1" t="s">
        <v>864</v>
      </c>
      <c r="B300" s="1" t="s">
        <v>876</v>
      </c>
      <c r="C300" s="1"/>
      <c r="D300" s="1" t="s">
        <v>970</v>
      </c>
      <c r="E300" s="1" t="s">
        <v>880</v>
      </c>
      <c r="F300" s="1" t="s">
        <v>32</v>
      </c>
      <c r="G300" s="1" t="s">
        <v>2720</v>
      </c>
    </row>
    <row r="301" spans="1:7">
      <c r="A301" s="1" t="s">
        <v>865</v>
      </c>
      <c r="B301" s="1" t="s">
        <v>876</v>
      </c>
      <c r="C301" s="1"/>
      <c r="D301" s="1" t="s">
        <v>972</v>
      </c>
      <c r="E301" s="1" t="s">
        <v>42</v>
      </c>
      <c r="F301" s="1" t="s">
        <v>32</v>
      </c>
      <c r="G301" s="1" t="s">
        <v>2716</v>
      </c>
    </row>
    <row r="302" spans="1:7">
      <c r="A302" s="1" t="s">
        <v>866</v>
      </c>
      <c r="B302" s="1" t="s">
        <v>876</v>
      </c>
      <c r="C302" s="1"/>
      <c r="D302" s="1" t="s">
        <v>974</v>
      </c>
      <c r="E302" s="1" t="s">
        <v>890</v>
      </c>
      <c r="F302" s="1" t="s">
        <v>32</v>
      </c>
      <c r="G302" s="1" t="s">
        <v>2722</v>
      </c>
    </row>
    <row r="303" spans="1:7">
      <c r="A303" s="1" t="s">
        <v>867</v>
      </c>
      <c r="B303" s="1" t="s">
        <v>876</v>
      </c>
      <c r="C303" s="1"/>
      <c r="D303" s="1" t="s">
        <v>976</v>
      </c>
      <c r="E303" s="1" t="s">
        <v>66</v>
      </c>
      <c r="F303" s="1" t="s">
        <v>32</v>
      </c>
      <c r="G303" s="1" t="s">
        <v>2719</v>
      </c>
    </row>
    <row r="304" spans="1:7">
      <c r="A304" s="1" t="s">
        <v>1859</v>
      </c>
      <c r="B304" s="1" t="s">
        <v>876</v>
      </c>
      <c r="C304" s="1"/>
      <c r="D304" s="1" t="s">
        <v>59</v>
      </c>
      <c r="E304" s="1" t="s">
        <v>42</v>
      </c>
      <c r="F304" s="1" t="s">
        <v>32</v>
      </c>
      <c r="G304" s="1" t="s">
        <v>2716</v>
      </c>
    </row>
    <row r="305" spans="1:8">
      <c r="A305" s="1" t="s">
        <v>869</v>
      </c>
      <c r="B305" s="1" t="s">
        <v>876</v>
      </c>
      <c r="C305" s="1"/>
      <c r="D305" s="1" t="s">
        <v>979</v>
      </c>
      <c r="E305" s="1" t="s">
        <v>880</v>
      </c>
      <c r="F305" s="1" t="s">
        <v>32</v>
      </c>
      <c r="G305" s="1" t="s">
        <v>2720</v>
      </c>
    </row>
    <row r="306" spans="1:8">
      <c r="A306" s="1" t="s">
        <v>872</v>
      </c>
      <c r="B306" s="1" t="s">
        <v>876</v>
      </c>
      <c r="C306" s="1"/>
      <c r="D306" s="1" t="s">
        <v>981</v>
      </c>
      <c r="E306" s="1" t="s">
        <v>982</v>
      </c>
      <c r="F306" s="1" t="s">
        <v>32</v>
      </c>
      <c r="G306" s="1" t="s">
        <v>2725</v>
      </c>
    </row>
    <row r="307" spans="1:8">
      <c r="A307" s="1" t="s">
        <v>874</v>
      </c>
      <c r="B307" s="1" t="s">
        <v>876</v>
      </c>
      <c r="C307" s="1"/>
      <c r="D307" s="1" t="s">
        <v>984</v>
      </c>
      <c r="E307" s="1" t="s">
        <v>890</v>
      </c>
      <c r="F307" s="1" t="s">
        <v>32</v>
      </c>
      <c r="G307" s="1" t="s">
        <v>2722</v>
      </c>
    </row>
    <row r="308" spans="1:8">
      <c r="A308" s="1" t="s">
        <v>1860</v>
      </c>
      <c r="B308" s="1" t="s">
        <v>876</v>
      </c>
      <c r="C308" s="1"/>
      <c r="D308" s="1" t="s">
        <v>889</v>
      </c>
      <c r="E308" s="1" t="s">
        <v>66</v>
      </c>
      <c r="F308" s="1" t="s">
        <v>32</v>
      </c>
      <c r="G308" s="1" t="s">
        <v>2719</v>
      </c>
      <c r="H308" s="18"/>
    </row>
    <row r="309" spans="1:8">
      <c r="A309" s="1" t="s">
        <v>1861</v>
      </c>
      <c r="B309" s="1" t="s">
        <v>876</v>
      </c>
      <c r="C309" s="1"/>
      <c r="D309" s="1" t="s">
        <v>987</v>
      </c>
      <c r="E309" s="1" t="s">
        <v>890</v>
      </c>
      <c r="F309" s="1" t="s">
        <v>32</v>
      </c>
      <c r="G309" s="1" t="s">
        <v>2722</v>
      </c>
      <c r="H309" s="18"/>
    </row>
    <row r="310" spans="1:8">
      <c r="A310" s="1" t="s">
        <v>1862</v>
      </c>
      <c r="B310" s="1" t="s">
        <v>876</v>
      </c>
      <c r="C310" s="1"/>
      <c r="D310" s="1" t="s">
        <v>989</v>
      </c>
      <c r="E310" s="1" t="s">
        <v>880</v>
      </c>
      <c r="F310" s="1" t="s">
        <v>32</v>
      </c>
      <c r="G310" s="1" t="s">
        <v>2720</v>
      </c>
      <c r="H310" s="18"/>
    </row>
    <row r="311" spans="1:8">
      <c r="A311" s="1" t="s">
        <v>1863</v>
      </c>
      <c r="B311" s="1" t="s">
        <v>876</v>
      </c>
      <c r="C311" s="1"/>
      <c r="D311" s="1" t="s">
        <v>991</v>
      </c>
      <c r="E311" s="1" t="s">
        <v>66</v>
      </c>
      <c r="F311" s="1" t="s">
        <v>32</v>
      </c>
      <c r="G311" s="1" t="s">
        <v>2719</v>
      </c>
      <c r="H311" s="18"/>
    </row>
    <row r="312" spans="1:8">
      <c r="A312" s="1" t="s">
        <v>1864</v>
      </c>
      <c r="B312" s="1" t="s">
        <v>876</v>
      </c>
      <c r="C312" s="1"/>
      <c r="D312" s="1" t="s">
        <v>993</v>
      </c>
      <c r="E312" s="1" t="s">
        <v>890</v>
      </c>
      <c r="F312" s="1" t="s">
        <v>32</v>
      </c>
      <c r="G312" s="1" t="s">
        <v>2722</v>
      </c>
      <c r="H312" s="18"/>
    </row>
    <row r="313" spans="1:8">
      <c r="A313" s="1" t="s">
        <v>1865</v>
      </c>
      <c r="B313" s="1" t="s">
        <v>876</v>
      </c>
      <c r="C313" s="1"/>
      <c r="D313" s="1" t="s">
        <v>877</v>
      </c>
      <c r="E313" s="1" t="s">
        <v>890</v>
      </c>
      <c r="F313" s="1" t="s">
        <v>32</v>
      </c>
      <c r="G313" s="1" t="s">
        <v>2722</v>
      </c>
      <c r="H313" s="18"/>
    </row>
    <row r="314" spans="1:8">
      <c r="A314" s="1" t="s">
        <v>1866</v>
      </c>
      <c r="B314" s="1" t="s">
        <v>876</v>
      </c>
      <c r="C314" s="1"/>
      <c r="D314" s="1" t="s">
        <v>996</v>
      </c>
      <c r="E314" s="1" t="s">
        <v>880</v>
      </c>
      <c r="F314" s="1" t="s">
        <v>32</v>
      </c>
      <c r="G314" s="1" t="s">
        <v>2720</v>
      </c>
      <c r="H314" s="18"/>
    </row>
    <row r="315" spans="1:8">
      <c r="A315" s="1" t="s">
        <v>1867</v>
      </c>
      <c r="B315" s="1" t="s">
        <v>876</v>
      </c>
      <c r="C315" s="1"/>
      <c r="D315" s="1" t="s">
        <v>998</v>
      </c>
      <c r="E315" s="1" t="s">
        <v>880</v>
      </c>
      <c r="F315" s="1" t="s">
        <v>32</v>
      </c>
      <c r="G315" s="1" t="s">
        <v>2720</v>
      </c>
      <c r="H315" s="18"/>
    </row>
    <row r="316" spans="1:8">
      <c r="A316" s="1" t="s">
        <v>1868</v>
      </c>
      <c r="B316" s="1" t="s">
        <v>876</v>
      </c>
      <c r="C316" s="1"/>
      <c r="D316" s="1" t="s">
        <v>1000</v>
      </c>
      <c r="E316" s="1" t="s">
        <v>66</v>
      </c>
      <c r="F316" s="1" t="s">
        <v>32</v>
      </c>
      <c r="G316" s="1" t="s">
        <v>2719</v>
      </c>
      <c r="H316" s="18"/>
    </row>
    <row r="317" spans="1:8">
      <c r="A317" s="1" t="s">
        <v>1869</v>
      </c>
      <c r="B317" s="1" t="s">
        <v>876</v>
      </c>
      <c r="C317" s="1"/>
      <c r="D317" s="1" t="s">
        <v>1002</v>
      </c>
      <c r="E317" s="1" t="s">
        <v>66</v>
      </c>
      <c r="F317" s="1" t="s">
        <v>32</v>
      </c>
      <c r="G317" s="1" t="s">
        <v>2719</v>
      </c>
      <c r="H317" s="18"/>
    </row>
    <row r="318" spans="1:8">
      <c r="A318" s="1" t="s">
        <v>1870</v>
      </c>
      <c r="B318" s="1" t="s">
        <v>876</v>
      </c>
      <c r="C318" s="1"/>
      <c r="D318" s="1" t="s">
        <v>1004</v>
      </c>
      <c r="E318" s="1" t="s">
        <v>880</v>
      </c>
      <c r="F318" s="1" t="s">
        <v>32</v>
      </c>
      <c r="G318" s="1" t="s">
        <v>2720</v>
      </c>
      <c r="H318" s="18"/>
    </row>
    <row r="319" spans="1:8">
      <c r="A319" s="1" t="s">
        <v>1871</v>
      </c>
      <c r="B319" s="1" t="s">
        <v>876</v>
      </c>
      <c r="C319" s="1"/>
      <c r="D319" s="1" t="s">
        <v>1006</v>
      </c>
      <c r="E319" s="1" t="s">
        <v>31</v>
      </c>
      <c r="F319" s="1" t="s">
        <v>32</v>
      </c>
      <c r="G319" s="1" t="s">
        <v>2721</v>
      </c>
      <c r="H319" s="18"/>
    </row>
    <row r="320" spans="1:8">
      <c r="A320" s="1" t="s">
        <v>1872</v>
      </c>
      <c r="B320" s="1" t="s">
        <v>876</v>
      </c>
      <c r="C320" s="1"/>
      <c r="D320" s="1" t="s">
        <v>1008</v>
      </c>
      <c r="E320" s="1" t="s">
        <v>880</v>
      </c>
      <c r="F320" s="1" t="s">
        <v>32</v>
      </c>
      <c r="G320" s="1" t="s">
        <v>2720</v>
      </c>
      <c r="H320" s="18"/>
    </row>
    <row r="321" spans="1:26">
      <c r="A321" s="1" t="s">
        <v>1873</v>
      </c>
      <c r="B321" s="1" t="s">
        <v>876</v>
      </c>
      <c r="C321" s="1"/>
      <c r="D321" s="1" t="s">
        <v>1010</v>
      </c>
      <c r="E321" s="1" t="s">
        <v>66</v>
      </c>
      <c r="F321" s="1" t="s">
        <v>32</v>
      </c>
      <c r="G321" s="1" t="s">
        <v>2719</v>
      </c>
      <c r="H321" s="18"/>
    </row>
    <row r="322" spans="1:26">
      <c r="A322" s="1" t="s">
        <v>1874</v>
      </c>
      <c r="B322" s="1" t="s">
        <v>876</v>
      </c>
      <c r="C322" s="1"/>
      <c r="D322" s="1" t="s">
        <v>1012</v>
      </c>
      <c r="E322" s="1" t="s">
        <v>66</v>
      </c>
      <c r="F322" s="1" t="s">
        <v>32</v>
      </c>
      <c r="G322" s="1" t="s">
        <v>2719</v>
      </c>
      <c r="H322" s="18"/>
    </row>
    <row r="323" spans="1:26" s="2" customFormat="1">
      <c r="A323" s="1" t="s">
        <v>1875</v>
      </c>
      <c r="B323" s="1" t="s">
        <v>876</v>
      </c>
      <c r="C323" s="1"/>
      <c r="D323" s="1" t="s">
        <v>1014</v>
      </c>
      <c r="E323" s="1" t="s">
        <v>1015</v>
      </c>
      <c r="F323" s="1" t="s">
        <v>32</v>
      </c>
      <c r="G323" s="1" t="s">
        <v>2726</v>
      </c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>
      <c r="A324" s="1" t="s">
        <v>1876</v>
      </c>
      <c r="B324" s="1" t="s">
        <v>876</v>
      </c>
      <c r="C324" s="1"/>
      <c r="D324" s="1" t="s">
        <v>914</v>
      </c>
      <c r="E324" s="1" t="s">
        <v>890</v>
      </c>
      <c r="F324" s="1" t="s">
        <v>32</v>
      </c>
      <c r="G324" s="1" t="s">
        <v>2722</v>
      </c>
      <c r="H324" s="18"/>
    </row>
    <row r="325" spans="1:26">
      <c r="A325" s="1" t="s">
        <v>1877</v>
      </c>
      <c r="B325" s="1" t="s">
        <v>876</v>
      </c>
      <c r="C325" s="1"/>
      <c r="D325" s="1" t="s">
        <v>1018</v>
      </c>
      <c r="E325" s="1" t="s">
        <v>880</v>
      </c>
      <c r="F325" s="1" t="s">
        <v>32</v>
      </c>
      <c r="G325" s="1" t="s">
        <v>2720</v>
      </c>
      <c r="H325" s="18"/>
    </row>
    <row r="326" spans="1:26">
      <c r="A326" s="1" t="s">
        <v>1878</v>
      </c>
      <c r="B326" s="1" t="s">
        <v>876</v>
      </c>
      <c r="C326" s="1"/>
      <c r="D326" s="1" t="s">
        <v>1020</v>
      </c>
      <c r="E326" s="1" t="s">
        <v>982</v>
      </c>
      <c r="F326" s="1" t="s">
        <v>32</v>
      </c>
      <c r="G326" s="1" t="s">
        <v>2725</v>
      </c>
      <c r="H326" s="18"/>
    </row>
    <row r="327" spans="1:26">
      <c r="A327" s="1" t="s">
        <v>1879</v>
      </c>
      <c r="B327" s="1" t="s">
        <v>876</v>
      </c>
      <c r="C327" s="1"/>
      <c r="D327" s="1" t="s">
        <v>1022</v>
      </c>
      <c r="E327" s="1" t="s">
        <v>31</v>
      </c>
      <c r="F327" s="1" t="s">
        <v>32</v>
      </c>
      <c r="G327" s="1" t="s">
        <v>2721</v>
      </c>
      <c r="H327" s="18"/>
    </row>
    <row r="328" spans="1:26">
      <c r="A328" s="1" t="s">
        <v>1880</v>
      </c>
      <c r="B328" s="1" t="s">
        <v>876</v>
      </c>
      <c r="C328" s="1"/>
      <c r="D328" s="1" t="s">
        <v>1024</v>
      </c>
      <c r="E328" s="1" t="s">
        <v>66</v>
      </c>
      <c r="F328" s="1" t="s">
        <v>32</v>
      </c>
      <c r="G328" s="1" t="s">
        <v>2719</v>
      </c>
      <c r="H328" s="18"/>
    </row>
    <row r="329" spans="1:26">
      <c r="A329" s="1" t="s">
        <v>1881</v>
      </c>
      <c r="B329" s="1" t="s">
        <v>876</v>
      </c>
      <c r="C329" s="1"/>
      <c r="D329" s="1" t="s">
        <v>1026</v>
      </c>
      <c r="E329" s="1" t="s">
        <v>890</v>
      </c>
      <c r="F329" s="1" t="s">
        <v>32</v>
      </c>
      <c r="G329" s="1" t="s">
        <v>2722</v>
      </c>
      <c r="H329" s="18"/>
    </row>
    <row r="330" spans="1:26">
      <c r="A330" s="1" t="s">
        <v>1882</v>
      </c>
      <c r="B330" s="1" t="s">
        <v>876</v>
      </c>
      <c r="C330" s="1"/>
      <c r="D330" s="1" t="s">
        <v>1028</v>
      </c>
      <c r="E330" s="1" t="s">
        <v>880</v>
      </c>
      <c r="F330" s="1" t="s">
        <v>32</v>
      </c>
      <c r="G330" s="1" t="s">
        <v>2720</v>
      </c>
      <c r="H330" s="18"/>
    </row>
    <row r="331" spans="1:26">
      <c r="A331" s="1" t="s">
        <v>1883</v>
      </c>
      <c r="B331" s="1" t="s">
        <v>876</v>
      </c>
      <c r="C331" s="1"/>
      <c r="D331" s="1" t="s">
        <v>1030</v>
      </c>
      <c r="E331" s="1" t="s">
        <v>890</v>
      </c>
      <c r="F331" s="1" t="s">
        <v>32</v>
      </c>
      <c r="G331" s="1" t="s">
        <v>2722</v>
      </c>
      <c r="H331" s="18"/>
    </row>
    <row r="332" spans="1:26">
      <c r="A332" s="1" t="s">
        <v>1884</v>
      </c>
      <c r="B332" s="1" t="s">
        <v>876</v>
      </c>
      <c r="C332" s="1"/>
      <c r="D332" s="1" t="s">
        <v>1035</v>
      </c>
      <c r="E332" s="1" t="s">
        <v>66</v>
      </c>
      <c r="F332" s="1" t="s">
        <v>32</v>
      </c>
      <c r="G332" s="1" t="s">
        <v>2719</v>
      </c>
      <c r="H332" s="18"/>
    </row>
    <row r="333" spans="1:26">
      <c r="A333" s="1" t="s">
        <v>1885</v>
      </c>
      <c r="B333" s="1" t="s">
        <v>876</v>
      </c>
      <c r="C333" s="1"/>
      <c r="D333" s="1" t="s">
        <v>1037</v>
      </c>
      <c r="E333" s="1" t="s">
        <v>890</v>
      </c>
      <c r="F333" s="1" t="s">
        <v>32</v>
      </c>
      <c r="G333" s="1" t="s">
        <v>2722</v>
      </c>
      <c r="H333" s="18"/>
    </row>
    <row r="334" spans="1:26">
      <c r="A334" s="1" t="s">
        <v>1886</v>
      </c>
      <c r="B334" s="1" t="s">
        <v>876</v>
      </c>
      <c r="C334" s="1"/>
      <c r="D334" s="1" t="s">
        <v>1039</v>
      </c>
      <c r="E334" s="1" t="s">
        <v>66</v>
      </c>
      <c r="F334" s="1" t="s">
        <v>32</v>
      </c>
      <c r="G334" s="1" t="s">
        <v>2719</v>
      </c>
      <c r="H334" s="18"/>
    </row>
    <row r="335" spans="1:26" s="2" customFormat="1">
      <c r="A335" s="1" t="s">
        <v>1887</v>
      </c>
      <c r="B335" s="1" t="s">
        <v>876</v>
      </c>
      <c r="C335" s="1"/>
      <c r="D335" s="1" t="s">
        <v>1041</v>
      </c>
      <c r="E335" s="1" t="s">
        <v>31</v>
      </c>
      <c r="F335" s="1" t="s">
        <v>32</v>
      </c>
      <c r="G335" s="1" t="s">
        <v>2721</v>
      </c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>
      <c r="A336" s="1" t="s">
        <v>1888</v>
      </c>
      <c r="B336" s="1" t="s">
        <v>876</v>
      </c>
      <c r="C336" s="1"/>
      <c r="D336" s="1" t="s">
        <v>1045</v>
      </c>
      <c r="E336" s="1" t="s">
        <v>880</v>
      </c>
      <c r="F336" s="1" t="s">
        <v>32</v>
      </c>
      <c r="G336" s="1" t="s">
        <v>2720</v>
      </c>
      <c r="H336" s="18"/>
    </row>
    <row r="337" spans="1:26">
      <c r="A337" s="1" t="s">
        <v>1889</v>
      </c>
      <c r="B337" s="1" t="s">
        <v>876</v>
      </c>
      <c r="C337" s="1"/>
      <c r="D337" s="1" t="s">
        <v>1047</v>
      </c>
      <c r="E337" s="1" t="s">
        <v>66</v>
      </c>
      <c r="F337" s="1" t="s">
        <v>32</v>
      </c>
      <c r="G337" s="1" t="s">
        <v>2719</v>
      </c>
      <c r="H337" s="18"/>
    </row>
    <row r="338" spans="1:26">
      <c r="A338" s="1" t="s">
        <v>1890</v>
      </c>
      <c r="B338" s="1" t="s">
        <v>876</v>
      </c>
      <c r="C338" s="1"/>
      <c r="D338" s="1" t="s">
        <v>1049</v>
      </c>
      <c r="E338" s="1" t="s">
        <v>66</v>
      </c>
      <c r="F338" s="1" t="s">
        <v>32</v>
      </c>
      <c r="G338" s="1" t="s">
        <v>2719</v>
      </c>
      <c r="H338" s="18"/>
    </row>
    <row r="339" spans="1:26">
      <c r="A339" s="1" t="s">
        <v>1891</v>
      </c>
      <c r="B339" s="1" t="s">
        <v>876</v>
      </c>
      <c r="C339" s="1"/>
      <c r="D339" s="1" t="s">
        <v>1051</v>
      </c>
      <c r="E339" s="1" t="s">
        <v>930</v>
      </c>
      <c r="F339" s="1" t="s">
        <v>32</v>
      </c>
      <c r="G339" s="1" t="s">
        <v>2723</v>
      </c>
      <c r="H339" s="18"/>
    </row>
    <row r="340" spans="1:26">
      <c r="A340" s="1" t="s">
        <v>1892</v>
      </c>
      <c r="B340" s="1" t="s">
        <v>876</v>
      </c>
      <c r="C340" s="1"/>
      <c r="D340" s="1" t="s">
        <v>1053</v>
      </c>
      <c r="E340" s="1" t="s">
        <v>880</v>
      </c>
      <c r="F340" s="1" t="s">
        <v>32</v>
      </c>
      <c r="G340" s="1" t="s">
        <v>2720</v>
      </c>
      <c r="H340" s="18"/>
    </row>
    <row r="341" spans="1:26">
      <c r="A341" s="1" t="s">
        <v>1893</v>
      </c>
      <c r="B341" s="1" t="s">
        <v>876</v>
      </c>
      <c r="C341" s="1"/>
      <c r="D341" s="1" t="s">
        <v>1055</v>
      </c>
      <c r="E341" s="1" t="s">
        <v>930</v>
      </c>
      <c r="F341" s="1" t="s">
        <v>32</v>
      </c>
      <c r="G341" s="1" t="s">
        <v>2723</v>
      </c>
      <c r="H341" s="18"/>
    </row>
    <row r="342" spans="1:26">
      <c r="A342" s="1" t="s">
        <v>1894</v>
      </c>
      <c r="B342" s="1" t="s">
        <v>876</v>
      </c>
      <c r="C342" s="1"/>
      <c r="D342" s="1" t="s">
        <v>1057</v>
      </c>
      <c r="E342" s="1" t="s">
        <v>1015</v>
      </c>
      <c r="F342" s="1" t="s">
        <v>32</v>
      </c>
      <c r="G342" s="1" t="s">
        <v>2726</v>
      </c>
      <c r="H342" s="18"/>
    </row>
    <row r="343" spans="1:26">
      <c r="A343" s="1" t="s">
        <v>1895</v>
      </c>
      <c r="B343" s="1" t="s">
        <v>876</v>
      </c>
      <c r="C343" s="1"/>
      <c r="D343" s="1" t="s">
        <v>1059</v>
      </c>
      <c r="E343" s="1" t="s">
        <v>66</v>
      </c>
      <c r="F343" s="1" t="s">
        <v>32</v>
      </c>
      <c r="G343" s="1" t="s">
        <v>2719</v>
      </c>
      <c r="H343" s="18"/>
    </row>
    <row r="344" spans="1:26">
      <c r="A344" s="1" t="s">
        <v>1896</v>
      </c>
      <c r="B344" s="1" t="s">
        <v>876</v>
      </c>
      <c r="C344" s="1"/>
      <c r="D344" s="1" t="s">
        <v>1037</v>
      </c>
      <c r="E344" s="1" t="s">
        <v>66</v>
      </c>
      <c r="F344" s="1" t="s">
        <v>32</v>
      </c>
      <c r="G344" s="1" t="s">
        <v>2719</v>
      </c>
      <c r="H344" s="18"/>
    </row>
    <row r="345" spans="1:26">
      <c r="A345" s="1" t="s">
        <v>1897</v>
      </c>
      <c r="B345" s="1" t="s">
        <v>876</v>
      </c>
      <c r="C345" s="1"/>
      <c r="D345" s="1" t="s">
        <v>1062</v>
      </c>
      <c r="E345" s="1" t="s">
        <v>940</v>
      </c>
      <c r="F345" s="1" t="s">
        <v>32</v>
      </c>
      <c r="G345" s="1" t="s">
        <v>2724</v>
      </c>
      <c r="H345" s="18"/>
    </row>
    <row r="346" spans="1:26" s="2" customFormat="1">
      <c r="A346" s="1" t="s">
        <v>1898</v>
      </c>
      <c r="B346" s="1" t="s">
        <v>876</v>
      </c>
      <c r="C346" s="1"/>
      <c r="D346" s="1" t="s">
        <v>1064</v>
      </c>
      <c r="E346" s="1" t="s">
        <v>940</v>
      </c>
      <c r="F346" s="1" t="s">
        <v>32</v>
      </c>
      <c r="G346" s="1" t="s">
        <v>2724</v>
      </c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>
      <c r="A347" s="1" t="s">
        <v>1899</v>
      </c>
      <c r="B347" s="1" t="s">
        <v>876</v>
      </c>
      <c r="C347" s="1"/>
      <c r="D347" s="1" t="s">
        <v>1066</v>
      </c>
      <c r="E347" s="1" t="s">
        <v>890</v>
      </c>
      <c r="F347" s="1" t="s">
        <v>32</v>
      </c>
      <c r="G347" s="1" t="s">
        <v>2722</v>
      </c>
      <c r="H347" s="18"/>
    </row>
    <row r="348" spans="1:26">
      <c r="A348" s="1" t="s">
        <v>1900</v>
      </c>
      <c r="B348" s="1" t="s">
        <v>876</v>
      </c>
      <c r="C348" s="1"/>
      <c r="D348" s="1" t="s">
        <v>1070</v>
      </c>
      <c r="E348" s="1" t="s">
        <v>66</v>
      </c>
      <c r="F348" s="1" t="s">
        <v>32</v>
      </c>
      <c r="G348" s="1" t="s">
        <v>2719</v>
      </c>
      <c r="H348" s="18"/>
    </row>
    <row r="349" spans="1:26">
      <c r="A349" s="1" t="s">
        <v>1901</v>
      </c>
      <c r="B349" s="1" t="s">
        <v>876</v>
      </c>
      <c r="C349" s="1"/>
      <c r="D349" s="1" t="s">
        <v>1072</v>
      </c>
      <c r="E349" s="1" t="s">
        <v>880</v>
      </c>
      <c r="F349" s="1" t="s">
        <v>32</v>
      </c>
      <c r="G349" s="1" t="s">
        <v>2720</v>
      </c>
      <c r="H349" s="18"/>
    </row>
    <row r="350" spans="1:26">
      <c r="A350" s="1" t="s">
        <v>1902</v>
      </c>
      <c r="B350" s="1" t="s">
        <v>876</v>
      </c>
      <c r="C350" s="1"/>
      <c r="D350" s="1" t="s">
        <v>1074</v>
      </c>
      <c r="E350" s="1" t="s">
        <v>66</v>
      </c>
      <c r="F350" s="1" t="s">
        <v>32</v>
      </c>
      <c r="G350" s="1" t="s">
        <v>2719</v>
      </c>
      <c r="H350" s="18"/>
    </row>
    <row r="351" spans="1:26">
      <c r="A351" s="1" t="s">
        <v>1903</v>
      </c>
      <c r="B351" s="1" t="s">
        <v>876</v>
      </c>
      <c r="C351" s="1"/>
      <c r="D351" s="1" t="s">
        <v>1076</v>
      </c>
      <c r="E351" s="1" t="s">
        <v>66</v>
      </c>
      <c r="F351" s="1" t="s">
        <v>32</v>
      </c>
      <c r="G351" s="1" t="s">
        <v>2719</v>
      </c>
      <c r="H351" s="18"/>
    </row>
    <row r="352" spans="1:26">
      <c r="A352" s="1" t="s">
        <v>1904</v>
      </c>
      <c r="B352" s="1" t="s">
        <v>876</v>
      </c>
      <c r="C352" s="1"/>
      <c r="D352" s="1" t="s">
        <v>954</v>
      </c>
      <c r="E352" s="1" t="s">
        <v>66</v>
      </c>
      <c r="F352" s="1" t="s">
        <v>32</v>
      </c>
      <c r="G352" s="1" t="s">
        <v>2719</v>
      </c>
      <c r="H352" s="18"/>
    </row>
    <row r="353" spans="1:26">
      <c r="A353" s="1" t="s">
        <v>1905</v>
      </c>
      <c r="B353" s="1" t="s">
        <v>876</v>
      </c>
      <c r="C353" s="1"/>
      <c r="D353" s="1" t="s">
        <v>1079</v>
      </c>
      <c r="E353" s="1" t="s">
        <v>66</v>
      </c>
      <c r="F353" s="1" t="s">
        <v>32</v>
      </c>
      <c r="G353" s="1" t="s">
        <v>2719</v>
      </c>
      <c r="H353" s="18"/>
    </row>
    <row r="354" spans="1:26" s="2" customFormat="1">
      <c r="A354" s="1" t="s">
        <v>1906</v>
      </c>
      <c r="B354" s="1" t="s">
        <v>876</v>
      </c>
      <c r="C354" s="1"/>
      <c r="D354" s="1" t="s">
        <v>1081</v>
      </c>
      <c r="E354" s="1" t="s">
        <v>66</v>
      </c>
      <c r="F354" s="1" t="s">
        <v>32</v>
      </c>
      <c r="G354" s="1" t="s">
        <v>2719</v>
      </c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>
      <c r="A355" s="1" t="s">
        <v>1907</v>
      </c>
      <c r="B355" s="1" t="s">
        <v>876</v>
      </c>
      <c r="C355" s="1"/>
      <c r="D355" s="1" t="s">
        <v>1083</v>
      </c>
      <c r="E355" s="1" t="s">
        <v>31</v>
      </c>
      <c r="F355" s="1" t="s">
        <v>32</v>
      </c>
      <c r="G355" s="1" t="s">
        <v>2721</v>
      </c>
      <c r="H355" s="18"/>
    </row>
    <row r="356" spans="1:26">
      <c r="A356" s="1" t="s">
        <v>1908</v>
      </c>
      <c r="B356" s="1" t="s">
        <v>876</v>
      </c>
      <c r="C356" s="1"/>
      <c r="D356" s="1" t="s">
        <v>1085</v>
      </c>
      <c r="E356" s="1" t="s">
        <v>930</v>
      </c>
      <c r="F356" s="1" t="s">
        <v>32</v>
      </c>
      <c r="G356" s="1" t="s">
        <v>2723</v>
      </c>
      <c r="H356" s="18"/>
    </row>
    <row r="357" spans="1:26">
      <c r="A357" s="1" t="s">
        <v>1909</v>
      </c>
      <c r="B357" s="1" t="s">
        <v>876</v>
      </c>
      <c r="C357" s="1"/>
      <c r="D357" s="1" t="s">
        <v>1087</v>
      </c>
      <c r="E357" s="1" t="s">
        <v>940</v>
      </c>
      <c r="F357" s="1" t="s">
        <v>32</v>
      </c>
      <c r="G357" s="1" t="s">
        <v>2724</v>
      </c>
      <c r="H357" s="18"/>
    </row>
    <row r="358" spans="1:26">
      <c r="A358" s="1" t="s">
        <v>1910</v>
      </c>
      <c r="B358" s="1" t="s">
        <v>876</v>
      </c>
      <c r="C358" s="1"/>
      <c r="D358" s="1" t="s">
        <v>1089</v>
      </c>
      <c r="E358" s="1" t="s">
        <v>66</v>
      </c>
      <c r="F358" s="1" t="s">
        <v>32</v>
      </c>
      <c r="G358" s="1" t="s">
        <v>2719</v>
      </c>
      <c r="H358" s="18"/>
    </row>
    <row r="359" spans="1:26">
      <c r="A359" s="1" t="s">
        <v>1911</v>
      </c>
      <c r="B359" s="1" t="s">
        <v>876</v>
      </c>
      <c r="C359" s="1"/>
      <c r="D359" s="1" t="s">
        <v>1091</v>
      </c>
      <c r="E359" s="1" t="s">
        <v>890</v>
      </c>
      <c r="F359" s="1" t="s">
        <v>32</v>
      </c>
      <c r="G359" s="1" t="s">
        <v>2722</v>
      </c>
      <c r="H359" s="18"/>
    </row>
    <row r="360" spans="1:26">
      <c r="A360" s="1" t="s">
        <v>1912</v>
      </c>
      <c r="B360" s="1" t="s">
        <v>876</v>
      </c>
      <c r="C360" s="1"/>
      <c r="D360" s="1" t="s">
        <v>1093</v>
      </c>
      <c r="E360" s="1" t="s">
        <v>890</v>
      </c>
      <c r="F360" s="1" t="s">
        <v>32</v>
      </c>
      <c r="G360" s="1" t="s">
        <v>2722</v>
      </c>
      <c r="H360" s="18"/>
    </row>
    <row r="361" spans="1:26">
      <c r="A361" s="1" t="s">
        <v>1913</v>
      </c>
      <c r="B361" s="1" t="s">
        <v>876</v>
      </c>
      <c r="C361" s="1"/>
      <c r="D361" s="1" t="s">
        <v>1095</v>
      </c>
      <c r="E361" s="1" t="s">
        <v>66</v>
      </c>
      <c r="F361" s="1" t="s">
        <v>32</v>
      </c>
      <c r="G361" s="1" t="s">
        <v>2719</v>
      </c>
      <c r="H361" s="18"/>
    </row>
    <row r="362" spans="1:26">
      <c r="A362" s="1" t="s">
        <v>1914</v>
      </c>
      <c r="B362" s="1" t="s">
        <v>876</v>
      </c>
      <c r="C362" s="1"/>
      <c r="D362" s="1" t="s">
        <v>41</v>
      </c>
      <c r="E362" s="1" t="s">
        <v>42</v>
      </c>
      <c r="F362" s="1" t="s">
        <v>32</v>
      </c>
      <c r="G362" s="1" t="s">
        <v>2716</v>
      </c>
      <c r="H362" s="18"/>
    </row>
    <row r="363" spans="1:26">
      <c r="A363" s="1" t="s">
        <v>1915</v>
      </c>
      <c r="B363" s="1" t="s">
        <v>876</v>
      </c>
      <c r="C363" s="1"/>
      <c r="D363" s="1" t="s">
        <v>1098</v>
      </c>
      <c r="E363" s="1" t="s">
        <v>880</v>
      </c>
      <c r="F363" s="1" t="s">
        <v>32</v>
      </c>
      <c r="G363" s="1" t="s">
        <v>2720</v>
      </c>
      <c r="H363" s="18"/>
    </row>
    <row r="364" spans="1:26">
      <c r="A364" s="1" t="s">
        <v>1916</v>
      </c>
      <c r="B364" s="1" t="s">
        <v>876</v>
      </c>
      <c r="C364" s="1"/>
      <c r="D364" s="1" t="s">
        <v>1100</v>
      </c>
      <c r="E364" s="1" t="s">
        <v>66</v>
      </c>
      <c r="F364" s="1" t="s">
        <v>32</v>
      </c>
      <c r="G364" s="1" t="s">
        <v>2719</v>
      </c>
      <c r="H364" s="18"/>
    </row>
    <row r="365" spans="1:26">
      <c r="A365" s="1" t="s">
        <v>1917</v>
      </c>
      <c r="B365" s="1" t="s">
        <v>876</v>
      </c>
      <c r="C365" s="1"/>
      <c r="D365" s="1" t="s">
        <v>1102</v>
      </c>
      <c r="E365" s="1" t="s">
        <v>930</v>
      </c>
      <c r="F365" s="1" t="s">
        <v>32</v>
      </c>
      <c r="G365" s="1" t="s">
        <v>2723</v>
      </c>
      <c r="H365" s="18"/>
    </row>
    <row r="366" spans="1:26">
      <c r="A366" s="1" t="s">
        <v>1918</v>
      </c>
      <c r="B366" s="1" t="s">
        <v>876</v>
      </c>
      <c r="C366" s="1"/>
      <c r="D366" s="1" t="s">
        <v>934</v>
      </c>
      <c r="E366" s="1" t="s">
        <v>66</v>
      </c>
      <c r="F366" s="1" t="s">
        <v>32</v>
      </c>
      <c r="G366" s="1" t="s">
        <v>2719</v>
      </c>
      <c r="H366" s="18"/>
    </row>
    <row r="367" spans="1:26">
      <c r="A367" s="1" t="s">
        <v>1919</v>
      </c>
      <c r="B367" s="1" t="s">
        <v>876</v>
      </c>
      <c r="C367" s="1"/>
      <c r="D367" s="1" t="s">
        <v>1059</v>
      </c>
      <c r="E367" s="1" t="s">
        <v>890</v>
      </c>
      <c r="F367" s="1" t="s">
        <v>32</v>
      </c>
      <c r="G367" s="1" t="s">
        <v>2722</v>
      </c>
      <c r="H367" s="18"/>
    </row>
    <row r="368" spans="1:26">
      <c r="A368" s="1" t="s">
        <v>1920</v>
      </c>
      <c r="B368" s="1" t="s">
        <v>876</v>
      </c>
      <c r="C368" s="1"/>
      <c r="D368" s="1" t="s">
        <v>1047</v>
      </c>
      <c r="E368" s="1" t="s">
        <v>890</v>
      </c>
      <c r="F368" s="1" t="s">
        <v>32</v>
      </c>
      <c r="G368" s="1" t="s">
        <v>2722</v>
      </c>
      <c r="H368" s="18"/>
    </row>
    <row r="369" spans="1:8">
      <c r="A369" s="1" t="s">
        <v>1921</v>
      </c>
      <c r="B369" s="1" t="s">
        <v>876</v>
      </c>
      <c r="C369" s="1"/>
      <c r="D369" s="1" t="s">
        <v>1107</v>
      </c>
      <c r="E369" s="1" t="s">
        <v>1015</v>
      </c>
      <c r="F369" s="1" t="s">
        <v>32</v>
      </c>
      <c r="G369" s="1" t="s">
        <v>2726</v>
      </c>
      <c r="H369" s="18"/>
    </row>
    <row r="370" spans="1:8">
      <c r="A370" s="1" t="s">
        <v>1922</v>
      </c>
      <c r="B370" s="1" t="s">
        <v>876</v>
      </c>
      <c r="C370" s="1"/>
      <c r="D370" s="1" t="s">
        <v>1109</v>
      </c>
      <c r="E370" s="1" t="s">
        <v>66</v>
      </c>
      <c r="F370" s="1" t="s">
        <v>32</v>
      </c>
      <c r="G370" s="1" t="s">
        <v>2719</v>
      </c>
      <c r="H370" s="18"/>
    </row>
    <row r="371" spans="1:8">
      <c r="A371" s="1" t="s">
        <v>1923</v>
      </c>
      <c r="B371" s="1" t="s">
        <v>876</v>
      </c>
      <c r="C371" s="1"/>
      <c r="D371" s="1" t="s">
        <v>1111</v>
      </c>
      <c r="E371" s="1" t="s">
        <v>66</v>
      </c>
      <c r="F371" s="1" t="s">
        <v>32</v>
      </c>
      <c r="G371" s="1" t="s">
        <v>2719</v>
      </c>
      <c r="H371" s="18"/>
    </row>
    <row r="372" spans="1:8">
      <c r="A372" s="1" t="s">
        <v>1924</v>
      </c>
      <c r="B372" s="1" t="s">
        <v>876</v>
      </c>
      <c r="C372" s="1"/>
      <c r="D372" s="1" t="s">
        <v>900</v>
      </c>
      <c r="E372" s="1" t="s">
        <v>890</v>
      </c>
      <c r="F372" s="1" t="s">
        <v>32</v>
      </c>
      <c r="G372" s="1" t="s">
        <v>2722</v>
      </c>
      <c r="H372" s="18"/>
    </row>
    <row r="373" spans="1:8">
      <c r="A373" s="1" t="s">
        <v>1925</v>
      </c>
      <c r="B373" s="1" t="s">
        <v>876</v>
      </c>
      <c r="C373" s="1"/>
      <c r="D373" s="1" t="s">
        <v>1114</v>
      </c>
      <c r="E373" s="1" t="s">
        <v>66</v>
      </c>
      <c r="F373" s="1" t="s">
        <v>32</v>
      </c>
      <c r="G373" s="1" t="s">
        <v>2719</v>
      </c>
      <c r="H373" s="18"/>
    </row>
    <row r="374" spans="1:8">
      <c r="A374" s="1" t="s">
        <v>1926</v>
      </c>
      <c r="B374" s="1" t="s">
        <v>876</v>
      </c>
      <c r="C374" s="1"/>
      <c r="D374" s="1" t="s">
        <v>1116</v>
      </c>
      <c r="E374" s="1" t="s">
        <v>66</v>
      </c>
      <c r="F374" s="1" t="s">
        <v>32</v>
      </c>
      <c r="G374" s="1" t="s">
        <v>2719</v>
      </c>
      <c r="H374" s="18"/>
    </row>
    <row r="375" spans="1:8">
      <c r="A375" s="1" t="s">
        <v>1927</v>
      </c>
      <c r="B375" s="1" t="s">
        <v>876</v>
      </c>
      <c r="C375" s="1"/>
      <c r="D375" s="1" t="s">
        <v>1118</v>
      </c>
      <c r="E375" s="1" t="s">
        <v>66</v>
      </c>
      <c r="F375" s="1" t="s">
        <v>32</v>
      </c>
      <c r="G375" s="1" t="s">
        <v>2719</v>
      </c>
      <c r="H375" s="18"/>
    </row>
    <row r="376" spans="1:8">
      <c r="A376" s="1" t="s">
        <v>1928</v>
      </c>
      <c r="B376" s="1" t="s">
        <v>876</v>
      </c>
      <c r="C376" s="1"/>
      <c r="D376" s="1" t="s">
        <v>1120</v>
      </c>
      <c r="E376" s="1" t="s">
        <v>66</v>
      </c>
      <c r="F376" s="1" t="s">
        <v>32</v>
      </c>
      <c r="G376" s="1" t="s">
        <v>2719</v>
      </c>
      <c r="H376" s="18"/>
    </row>
    <row r="377" spans="1:8">
      <c r="A377" s="1" t="s">
        <v>1929</v>
      </c>
      <c r="B377" s="1" t="s">
        <v>876</v>
      </c>
      <c r="C377" s="1"/>
      <c r="D377" s="1" t="s">
        <v>1122</v>
      </c>
      <c r="E377" s="1" t="s">
        <v>66</v>
      </c>
      <c r="F377" s="1" t="s">
        <v>32</v>
      </c>
      <c r="G377" s="1" t="s">
        <v>2719</v>
      </c>
      <c r="H377" s="18"/>
    </row>
    <row r="378" spans="1:8">
      <c r="A378" s="1" t="s">
        <v>1930</v>
      </c>
      <c r="B378" s="1" t="s">
        <v>876</v>
      </c>
      <c r="C378" s="1"/>
      <c r="D378" s="1" t="s">
        <v>1124</v>
      </c>
      <c r="E378" s="1" t="s">
        <v>880</v>
      </c>
      <c r="F378" s="1" t="s">
        <v>32</v>
      </c>
      <c r="G378" s="1" t="s">
        <v>2720</v>
      </c>
      <c r="H378" s="18"/>
    </row>
    <row r="379" spans="1:8">
      <c r="A379" s="1" t="s">
        <v>1931</v>
      </c>
      <c r="B379" s="1" t="s">
        <v>876</v>
      </c>
      <c r="C379" s="1"/>
      <c r="D379" s="1" t="s">
        <v>1131</v>
      </c>
      <c r="E379" s="1" t="s">
        <v>880</v>
      </c>
      <c r="F379" s="1" t="s">
        <v>32</v>
      </c>
      <c r="G379" s="1" t="s">
        <v>2720</v>
      </c>
      <c r="H379" s="18"/>
    </row>
    <row r="380" spans="1:8">
      <c r="A380" s="1" t="s">
        <v>1932</v>
      </c>
      <c r="B380" s="1" t="s">
        <v>876</v>
      </c>
      <c r="C380" s="1"/>
      <c r="D380" s="1" t="s">
        <v>1133</v>
      </c>
      <c r="E380" s="1" t="s">
        <v>66</v>
      </c>
      <c r="F380" s="1" t="s">
        <v>32</v>
      </c>
      <c r="G380" s="1" t="s">
        <v>2719</v>
      </c>
      <c r="H380" s="18"/>
    </row>
    <row r="381" spans="1:8">
      <c r="A381" s="1" t="s">
        <v>1933</v>
      </c>
      <c r="B381" s="1" t="s">
        <v>876</v>
      </c>
      <c r="C381" s="1"/>
      <c r="D381" s="1" t="s">
        <v>1135</v>
      </c>
      <c r="E381" s="1" t="s">
        <v>66</v>
      </c>
      <c r="F381" s="1" t="s">
        <v>32</v>
      </c>
      <c r="G381" s="1" t="s">
        <v>2719</v>
      </c>
      <c r="H381" s="18"/>
    </row>
    <row r="382" spans="1:8">
      <c r="A382" s="1" t="s">
        <v>1934</v>
      </c>
      <c r="B382" s="1" t="s">
        <v>876</v>
      </c>
      <c r="C382" s="1"/>
      <c r="D382" s="1" t="s">
        <v>1137</v>
      </c>
      <c r="E382" s="1" t="s">
        <v>66</v>
      </c>
      <c r="F382" s="1" t="s">
        <v>32</v>
      </c>
      <c r="G382" s="1" t="s">
        <v>2719</v>
      </c>
      <c r="H382" s="18"/>
    </row>
    <row r="383" spans="1:8">
      <c r="A383" s="1" t="s">
        <v>1935</v>
      </c>
      <c r="B383" s="1" t="s">
        <v>876</v>
      </c>
      <c r="C383" s="1"/>
      <c r="D383" s="1" t="s">
        <v>1139</v>
      </c>
      <c r="E383" s="1" t="s">
        <v>880</v>
      </c>
      <c r="F383" s="1" t="s">
        <v>32</v>
      </c>
      <c r="G383" s="1" t="s">
        <v>2720</v>
      </c>
      <c r="H383" s="18"/>
    </row>
    <row r="384" spans="1:8">
      <c r="A384" s="1" t="s">
        <v>1936</v>
      </c>
      <c r="B384" s="1" t="s">
        <v>876</v>
      </c>
      <c r="C384" s="1"/>
      <c r="D384" s="1" t="s">
        <v>984</v>
      </c>
      <c r="E384" s="1" t="s">
        <v>66</v>
      </c>
      <c r="F384" s="1" t="s">
        <v>32</v>
      </c>
      <c r="G384" s="1" t="s">
        <v>2719</v>
      </c>
      <c r="H384" s="18"/>
    </row>
    <row r="385" spans="1:8">
      <c r="A385" s="1" t="s">
        <v>1937</v>
      </c>
      <c r="B385" s="1" t="s">
        <v>876</v>
      </c>
      <c r="C385" s="1"/>
      <c r="D385" s="1" t="s">
        <v>1142</v>
      </c>
      <c r="E385" s="1" t="s">
        <v>880</v>
      </c>
      <c r="F385" s="1" t="s">
        <v>32</v>
      </c>
      <c r="G385" s="1" t="s">
        <v>2720</v>
      </c>
      <c r="H385" s="18"/>
    </row>
    <row r="386" spans="1:8">
      <c r="A386" s="1" t="s">
        <v>1938</v>
      </c>
      <c r="B386" s="1" t="s">
        <v>876</v>
      </c>
      <c r="C386" s="1"/>
      <c r="D386" s="1" t="s">
        <v>1144</v>
      </c>
      <c r="E386" s="1" t="s">
        <v>880</v>
      </c>
      <c r="F386" s="1" t="s">
        <v>32</v>
      </c>
      <c r="G386" s="1" t="s">
        <v>2720</v>
      </c>
      <c r="H386" s="18"/>
    </row>
    <row r="387" spans="1:8">
      <c r="A387" s="1" t="s">
        <v>1939</v>
      </c>
      <c r="B387" s="1" t="s">
        <v>876</v>
      </c>
      <c r="C387" s="1"/>
      <c r="D387" s="1" t="s">
        <v>1146</v>
      </c>
      <c r="E387" s="1" t="s">
        <v>66</v>
      </c>
      <c r="F387" s="1" t="s">
        <v>32</v>
      </c>
      <c r="G387" s="1" t="s">
        <v>2719</v>
      </c>
      <c r="H387" s="17"/>
    </row>
    <row r="388" spans="1:8">
      <c r="A388" s="1" t="s">
        <v>1940</v>
      </c>
      <c r="B388" s="1" t="s">
        <v>876</v>
      </c>
      <c r="C388" s="1"/>
      <c r="D388" s="1" t="s">
        <v>882</v>
      </c>
      <c r="E388" s="1" t="s">
        <v>890</v>
      </c>
      <c r="F388" s="1" t="s">
        <v>32</v>
      </c>
      <c r="G388" s="1" t="s">
        <v>2722</v>
      </c>
      <c r="H388" s="18"/>
    </row>
    <row r="389" spans="1:8">
      <c r="A389" s="1" t="s">
        <v>1941</v>
      </c>
      <c r="B389" s="1" t="s">
        <v>876</v>
      </c>
      <c r="C389" s="1"/>
      <c r="D389" s="1" t="s">
        <v>1026</v>
      </c>
      <c r="E389" s="1" t="s">
        <v>66</v>
      </c>
      <c r="F389" s="1" t="s">
        <v>32</v>
      </c>
      <c r="G389" s="1" t="s">
        <v>2719</v>
      </c>
      <c r="H389" s="18"/>
    </row>
    <row r="390" spans="1:8">
      <c r="A390" s="1" t="s">
        <v>1942</v>
      </c>
      <c r="B390" s="1" t="s">
        <v>876</v>
      </c>
      <c r="C390" s="1"/>
      <c r="D390" s="1" t="s">
        <v>1150</v>
      </c>
      <c r="E390" s="1" t="s">
        <v>66</v>
      </c>
      <c r="F390" s="1" t="s">
        <v>32</v>
      </c>
      <c r="G390" s="1" t="s">
        <v>2719</v>
      </c>
      <c r="H390" s="18"/>
    </row>
    <row r="391" spans="1:8">
      <c r="A391" s="1" t="s">
        <v>1943</v>
      </c>
      <c r="B391" s="1" t="s">
        <v>876</v>
      </c>
      <c r="C391" s="1"/>
      <c r="D391" s="1" t="s">
        <v>1152</v>
      </c>
      <c r="E391" s="1" t="s">
        <v>66</v>
      </c>
      <c r="F391" s="1" t="s">
        <v>32</v>
      </c>
      <c r="G391" s="1" t="s">
        <v>2719</v>
      </c>
      <c r="H391" s="18"/>
    </row>
    <row r="392" spans="1:8">
      <c r="A392" s="1" t="s">
        <v>1944</v>
      </c>
      <c r="B392" s="1" t="s">
        <v>876</v>
      </c>
      <c r="C392" s="1"/>
      <c r="D392" s="1" t="s">
        <v>57</v>
      </c>
      <c r="E392" s="1" t="s">
        <v>42</v>
      </c>
      <c r="F392" s="1" t="s">
        <v>32</v>
      </c>
      <c r="G392" s="1" t="s">
        <v>2716</v>
      </c>
      <c r="H392" s="17"/>
    </row>
    <row r="393" spans="1:8">
      <c r="A393" s="1" t="s">
        <v>1945</v>
      </c>
      <c r="B393" s="1" t="s">
        <v>876</v>
      </c>
      <c r="C393" s="1"/>
      <c r="D393" s="1" t="s">
        <v>1155</v>
      </c>
      <c r="E393" s="1" t="s">
        <v>66</v>
      </c>
      <c r="F393" s="1" t="s">
        <v>32</v>
      </c>
      <c r="G393" s="1" t="s">
        <v>2719</v>
      </c>
      <c r="H393" s="18"/>
    </row>
    <row r="394" spans="1:8">
      <c r="A394" s="1" t="s">
        <v>1946</v>
      </c>
      <c r="B394" s="1" t="s">
        <v>876</v>
      </c>
      <c r="C394" s="1"/>
      <c r="D394" s="1" t="s">
        <v>1157</v>
      </c>
      <c r="E394" s="1" t="s">
        <v>66</v>
      </c>
      <c r="F394" s="1" t="s">
        <v>32</v>
      </c>
      <c r="G394" s="1" t="s">
        <v>2719</v>
      </c>
      <c r="H394" s="18"/>
    </row>
    <row r="395" spans="1:8">
      <c r="A395" s="1" t="s">
        <v>1947</v>
      </c>
      <c r="B395" s="1" t="s">
        <v>876</v>
      </c>
      <c r="C395" s="1"/>
      <c r="D395" s="1" t="s">
        <v>1159</v>
      </c>
      <c r="E395" s="1" t="s">
        <v>66</v>
      </c>
      <c r="F395" s="1" t="s">
        <v>32</v>
      </c>
      <c r="G395" s="1" t="s">
        <v>2719</v>
      </c>
      <c r="H395" s="18"/>
    </row>
    <row r="396" spans="1:8">
      <c r="A396" s="1" t="s">
        <v>1948</v>
      </c>
      <c r="B396" s="1" t="s">
        <v>876</v>
      </c>
      <c r="C396" s="1"/>
      <c r="D396" s="1" t="s">
        <v>1161</v>
      </c>
      <c r="E396" s="1" t="s">
        <v>890</v>
      </c>
      <c r="F396" s="1" t="s">
        <v>32</v>
      </c>
      <c r="G396" s="1" t="s">
        <v>2722</v>
      </c>
      <c r="H396" s="18"/>
    </row>
    <row r="397" spans="1:8">
      <c r="A397" s="1" t="s">
        <v>1949</v>
      </c>
      <c r="B397" s="1" t="s">
        <v>876</v>
      </c>
      <c r="C397" s="1"/>
      <c r="D397" s="1" t="s">
        <v>1163</v>
      </c>
      <c r="E397" s="1" t="s">
        <v>31</v>
      </c>
      <c r="F397" s="1" t="s">
        <v>32</v>
      </c>
      <c r="G397" s="1" t="s">
        <v>2721</v>
      </c>
      <c r="H397" s="18"/>
    </row>
    <row r="398" spans="1:8">
      <c r="A398" s="1" t="s">
        <v>1950</v>
      </c>
      <c r="B398" s="1" t="s">
        <v>876</v>
      </c>
      <c r="C398" s="1"/>
      <c r="D398" s="1" t="s">
        <v>1165</v>
      </c>
      <c r="E398" s="1" t="s">
        <v>880</v>
      </c>
      <c r="F398" s="1" t="s">
        <v>32</v>
      </c>
      <c r="G398" s="1" t="s">
        <v>2720</v>
      </c>
      <c r="H398" s="18"/>
    </row>
    <row r="399" spans="1:8">
      <c r="A399" s="1" t="s">
        <v>1951</v>
      </c>
      <c r="B399" s="1" t="s">
        <v>876</v>
      </c>
      <c r="C399" s="1"/>
      <c r="D399" s="1" t="s">
        <v>1169</v>
      </c>
      <c r="E399" s="1" t="s">
        <v>880</v>
      </c>
      <c r="F399" s="1" t="s">
        <v>32</v>
      </c>
      <c r="G399" s="1" t="s">
        <v>2720</v>
      </c>
      <c r="H399" s="18"/>
    </row>
    <row r="400" spans="1:8">
      <c r="A400" s="1" t="s">
        <v>1952</v>
      </c>
      <c r="B400" s="1" t="s">
        <v>876</v>
      </c>
      <c r="C400" s="1"/>
      <c r="D400" s="1" t="s">
        <v>976</v>
      </c>
      <c r="E400" s="1" t="s">
        <v>890</v>
      </c>
      <c r="F400" s="1" t="s">
        <v>32</v>
      </c>
      <c r="G400" s="1" t="s">
        <v>2722</v>
      </c>
      <c r="H400" s="18"/>
    </row>
    <row r="401" spans="1:8">
      <c r="A401" s="1" t="s">
        <v>1953</v>
      </c>
      <c r="B401" s="1" t="s">
        <v>876</v>
      </c>
      <c r="C401" s="1"/>
      <c r="D401" s="1" t="s">
        <v>1172</v>
      </c>
      <c r="E401" s="1" t="s">
        <v>31</v>
      </c>
      <c r="F401" s="1" t="s">
        <v>32</v>
      </c>
      <c r="G401" s="1" t="s">
        <v>2721</v>
      </c>
      <c r="H401" s="18"/>
    </row>
    <row r="402" spans="1:8">
      <c r="A402" s="1" t="s">
        <v>1954</v>
      </c>
      <c r="B402" s="1" t="s">
        <v>876</v>
      </c>
      <c r="C402" s="1"/>
      <c r="D402" s="1" t="s">
        <v>1174</v>
      </c>
      <c r="E402" s="1" t="s">
        <v>66</v>
      </c>
      <c r="F402" s="1" t="s">
        <v>32</v>
      </c>
      <c r="G402" s="1" t="s">
        <v>2719</v>
      </c>
      <c r="H402" s="18"/>
    </row>
    <row r="403" spans="1:8">
      <c r="A403" s="1" t="s">
        <v>1955</v>
      </c>
      <c r="B403" s="1" t="s">
        <v>876</v>
      </c>
      <c r="C403" s="1"/>
      <c r="D403" s="1" t="s">
        <v>846</v>
      </c>
      <c r="E403" s="1" t="s">
        <v>42</v>
      </c>
      <c r="F403" s="1" t="s">
        <v>32</v>
      </c>
      <c r="G403" s="1" t="s">
        <v>2716</v>
      </c>
      <c r="H403" s="18"/>
    </row>
    <row r="404" spans="1:8">
      <c r="A404" s="1" t="s">
        <v>1956</v>
      </c>
      <c r="B404" s="1" t="s">
        <v>876</v>
      </c>
      <c r="C404" s="1"/>
      <c r="D404" s="1" t="s">
        <v>1179</v>
      </c>
      <c r="E404" s="1" t="s">
        <v>66</v>
      </c>
      <c r="F404" s="1" t="s">
        <v>32</v>
      </c>
      <c r="G404" s="1" t="s">
        <v>2719</v>
      </c>
      <c r="H404" s="18"/>
    </row>
    <row r="405" spans="1:8">
      <c r="A405" s="1" t="s">
        <v>1957</v>
      </c>
      <c r="B405" s="1" t="s">
        <v>876</v>
      </c>
      <c r="C405" s="1"/>
      <c r="D405" s="1" t="s">
        <v>1182</v>
      </c>
      <c r="E405" s="1" t="s">
        <v>890</v>
      </c>
      <c r="F405" s="1" t="s">
        <v>32</v>
      </c>
      <c r="G405" s="1" t="s">
        <v>2722</v>
      </c>
      <c r="H405" s="17"/>
    </row>
    <row r="406" spans="1:8">
      <c r="A406" s="1" t="s">
        <v>1958</v>
      </c>
      <c r="B406" s="1" t="s">
        <v>876</v>
      </c>
      <c r="C406" s="1"/>
      <c r="D406" s="1" t="s">
        <v>1184</v>
      </c>
      <c r="E406" s="1" t="s">
        <v>890</v>
      </c>
      <c r="F406" s="1" t="s">
        <v>32</v>
      </c>
      <c r="G406" s="1" t="s">
        <v>2722</v>
      </c>
      <c r="H406" s="18"/>
    </row>
    <row r="407" spans="1:8">
      <c r="A407" s="1" t="s">
        <v>1959</v>
      </c>
      <c r="B407" s="1" t="s">
        <v>876</v>
      </c>
      <c r="C407" s="1"/>
      <c r="D407" s="1" t="s">
        <v>970</v>
      </c>
      <c r="E407" s="1" t="s">
        <v>31</v>
      </c>
      <c r="F407" s="1" t="s">
        <v>32</v>
      </c>
      <c r="G407" s="1" t="s">
        <v>2721</v>
      </c>
      <c r="H407" s="18"/>
    </row>
    <row r="408" spans="1:8">
      <c r="A408" s="1" t="s">
        <v>1960</v>
      </c>
      <c r="B408" s="1" t="s">
        <v>876</v>
      </c>
      <c r="C408" s="1"/>
      <c r="D408" s="1" t="s">
        <v>1187</v>
      </c>
      <c r="E408" s="1" t="s">
        <v>880</v>
      </c>
      <c r="F408" s="1" t="s">
        <v>32</v>
      </c>
      <c r="G408" s="1" t="s">
        <v>2720</v>
      </c>
      <c r="H408" s="18"/>
    </row>
    <row r="409" spans="1:8">
      <c r="A409" s="1" t="s">
        <v>1961</v>
      </c>
      <c r="B409" s="1" t="s">
        <v>876</v>
      </c>
      <c r="C409" s="1"/>
      <c r="D409" s="1" t="s">
        <v>1189</v>
      </c>
      <c r="E409" s="1" t="s">
        <v>66</v>
      </c>
      <c r="F409" s="1" t="s">
        <v>32</v>
      </c>
      <c r="G409" s="1" t="s">
        <v>2719</v>
      </c>
      <c r="H409" s="18"/>
    </row>
    <row r="410" spans="1:8">
      <c r="A410" s="1" t="s">
        <v>1962</v>
      </c>
      <c r="B410" s="1" t="s">
        <v>876</v>
      </c>
      <c r="C410" s="1"/>
      <c r="D410" s="1" t="s">
        <v>1191</v>
      </c>
      <c r="E410" s="1" t="s">
        <v>880</v>
      </c>
      <c r="F410" s="1" t="s">
        <v>32</v>
      </c>
      <c r="G410" s="1" t="s">
        <v>2720</v>
      </c>
      <c r="H410" s="18"/>
    </row>
    <row r="411" spans="1:8">
      <c r="A411" s="1" t="s">
        <v>1963</v>
      </c>
      <c r="B411" s="1" t="s">
        <v>876</v>
      </c>
      <c r="C411" s="1"/>
      <c r="D411" s="1" t="s">
        <v>1193</v>
      </c>
      <c r="E411" s="1" t="s">
        <v>66</v>
      </c>
      <c r="F411" s="1" t="s">
        <v>32</v>
      </c>
      <c r="G411" s="1" t="s">
        <v>2719</v>
      </c>
      <c r="H411" s="18"/>
    </row>
    <row r="412" spans="1:8">
      <c r="A412" s="1" t="s">
        <v>1964</v>
      </c>
      <c r="B412" s="1" t="s">
        <v>876</v>
      </c>
      <c r="C412" s="1"/>
      <c r="D412" s="1" t="s">
        <v>1195</v>
      </c>
      <c r="E412" s="1" t="s">
        <v>880</v>
      </c>
      <c r="F412" s="1" t="s">
        <v>32</v>
      </c>
      <c r="G412" s="1" t="s">
        <v>2720</v>
      </c>
      <c r="H412" s="18"/>
    </row>
    <row r="413" spans="1:8">
      <c r="A413" s="1" t="s">
        <v>1965</v>
      </c>
      <c r="B413" s="1" t="s">
        <v>876</v>
      </c>
      <c r="C413" s="1"/>
      <c r="D413" s="1" t="s">
        <v>1144</v>
      </c>
      <c r="E413" s="1" t="s">
        <v>66</v>
      </c>
      <c r="F413" s="1" t="s">
        <v>32</v>
      </c>
      <c r="G413" s="1" t="s">
        <v>2719</v>
      </c>
      <c r="H413" s="18"/>
    </row>
    <row r="414" spans="1:8">
      <c r="A414" s="1" t="s">
        <v>1966</v>
      </c>
      <c r="B414" s="1" t="s">
        <v>876</v>
      </c>
      <c r="C414" s="1"/>
      <c r="D414" s="1" t="s">
        <v>1198</v>
      </c>
      <c r="E414" s="1" t="s">
        <v>66</v>
      </c>
      <c r="F414" s="1" t="s">
        <v>32</v>
      </c>
      <c r="G414" s="1" t="s">
        <v>2719</v>
      </c>
      <c r="H414" s="18"/>
    </row>
    <row r="415" spans="1:8">
      <c r="A415" s="1" t="s">
        <v>1967</v>
      </c>
      <c r="B415" s="1" t="s">
        <v>876</v>
      </c>
      <c r="C415" s="1"/>
      <c r="D415" s="1" t="s">
        <v>1200</v>
      </c>
      <c r="E415" s="1" t="s">
        <v>66</v>
      </c>
      <c r="F415" s="1" t="s">
        <v>32</v>
      </c>
      <c r="G415" s="1" t="s">
        <v>2719</v>
      </c>
      <c r="H415" s="18"/>
    </row>
    <row r="416" spans="1:8">
      <c r="A416" s="1" t="s">
        <v>1968</v>
      </c>
      <c r="B416" s="1" t="s">
        <v>876</v>
      </c>
      <c r="C416" s="1"/>
      <c r="D416" s="1" t="s">
        <v>1202</v>
      </c>
      <c r="E416" s="1" t="s">
        <v>880</v>
      </c>
      <c r="F416" s="1" t="s">
        <v>32</v>
      </c>
      <c r="G416" s="1" t="s">
        <v>2720</v>
      </c>
      <c r="H416" s="18"/>
    </row>
    <row r="417" spans="1:8">
      <c r="A417" s="1" t="s">
        <v>1969</v>
      </c>
      <c r="B417" s="1" t="s">
        <v>876</v>
      </c>
      <c r="C417" s="1"/>
      <c r="D417" s="1" t="s">
        <v>1204</v>
      </c>
      <c r="E417" s="1" t="s">
        <v>66</v>
      </c>
      <c r="F417" s="1" t="s">
        <v>32</v>
      </c>
      <c r="G417" s="1" t="s">
        <v>2719</v>
      </c>
      <c r="H417" s="18"/>
    </row>
    <row r="418" spans="1:8">
      <c r="A418" s="1" t="s">
        <v>1970</v>
      </c>
      <c r="B418" s="1" t="s">
        <v>876</v>
      </c>
      <c r="C418" s="1"/>
      <c r="D418" s="1" t="s">
        <v>69</v>
      </c>
      <c r="E418" s="1" t="s">
        <v>42</v>
      </c>
      <c r="F418" s="1" t="s">
        <v>32</v>
      </c>
      <c r="G418" s="1" t="s">
        <v>2716</v>
      </c>
      <c r="H418" s="18"/>
    </row>
    <row r="419" spans="1:8">
      <c r="A419" s="1" t="s">
        <v>1971</v>
      </c>
      <c r="B419" s="1" t="s">
        <v>876</v>
      </c>
      <c r="C419" s="1"/>
      <c r="D419" s="1" t="s">
        <v>1207</v>
      </c>
      <c r="E419" s="1" t="s">
        <v>66</v>
      </c>
      <c r="F419" s="1" t="s">
        <v>32</v>
      </c>
      <c r="G419" s="1" t="s">
        <v>2719</v>
      </c>
      <c r="H419" s="18"/>
    </row>
    <row r="420" spans="1:8">
      <c r="A420" s="1" t="s">
        <v>1972</v>
      </c>
      <c r="B420" s="1" t="s">
        <v>876</v>
      </c>
      <c r="C420" s="1"/>
      <c r="D420" s="1" t="s">
        <v>1209</v>
      </c>
      <c r="E420" s="1" t="s">
        <v>890</v>
      </c>
      <c r="F420" s="1" t="s">
        <v>32</v>
      </c>
      <c r="G420" s="1" t="s">
        <v>2722</v>
      </c>
      <c r="H420" s="18"/>
    </row>
    <row r="421" spans="1:8">
      <c r="A421" s="1" t="s">
        <v>1973</v>
      </c>
      <c r="B421" s="1" t="s">
        <v>876</v>
      </c>
      <c r="C421" s="1"/>
      <c r="D421" s="1" t="s">
        <v>1211</v>
      </c>
      <c r="E421" s="1" t="s">
        <v>890</v>
      </c>
      <c r="F421" s="1" t="s">
        <v>32</v>
      </c>
      <c r="G421" s="1" t="s">
        <v>2722</v>
      </c>
      <c r="H421" s="18"/>
    </row>
    <row r="422" spans="1:8">
      <c r="A422" s="1" t="s">
        <v>1974</v>
      </c>
      <c r="B422" s="1" t="s">
        <v>876</v>
      </c>
      <c r="C422" s="1"/>
      <c r="D422" s="1" t="s">
        <v>1179</v>
      </c>
      <c r="E422" s="1" t="s">
        <v>890</v>
      </c>
      <c r="F422" s="1" t="s">
        <v>32</v>
      </c>
      <c r="G422" s="1" t="s">
        <v>2722</v>
      </c>
      <c r="H422" s="18"/>
    </row>
    <row r="423" spans="1:8">
      <c r="A423" s="1" t="s">
        <v>1975</v>
      </c>
      <c r="B423" s="1" t="s">
        <v>876</v>
      </c>
      <c r="C423" s="1"/>
      <c r="D423" s="1" t="s">
        <v>1214</v>
      </c>
      <c r="E423" s="1" t="s">
        <v>930</v>
      </c>
      <c r="F423" s="1" t="s">
        <v>32</v>
      </c>
      <c r="G423" s="1" t="s">
        <v>2723</v>
      </c>
      <c r="H423" s="18"/>
    </row>
    <row r="424" spans="1:8">
      <c r="A424" s="1" t="s">
        <v>1976</v>
      </c>
      <c r="B424" s="1" t="s">
        <v>876</v>
      </c>
      <c r="C424" s="1"/>
      <c r="D424" s="1" t="s">
        <v>1216</v>
      </c>
      <c r="E424" s="1" t="s">
        <v>42</v>
      </c>
      <c r="F424" s="1" t="s">
        <v>32</v>
      </c>
      <c r="G424" s="1" t="s">
        <v>2716</v>
      </c>
      <c r="H424" s="18"/>
    </row>
    <row r="425" spans="1:8">
      <c r="A425" s="1" t="s">
        <v>1977</v>
      </c>
      <c r="B425" s="1" t="s">
        <v>876</v>
      </c>
      <c r="C425" s="1"/>
      <c r="D425" s="1" t="s">
        <v>1218</v>
      </c>
      <c r="E425" s="1" t="s">
        <v>42</v>
      </c>
      <c r="F425" s="1" t="s">
        <v>32</v>
      </c>
      <c r="G425" s="1" t="s">
        <v>2716</v>
      </c>
      <c r="H425" s="18"/>
    </row>
    <row r="426" spans="1:8">
      <c r="A426" s="1" t="s">
        <v>1978</v>
      </c>
      <c r="B426" s="1" t="s">
        <v>876</v>
      </c>
      <c r="C426" s="1"/>
      <c r="D426" s="1" t="s">
        <v>1220</v>
      </c>
      <c r="E426" s="1" t="s">
        <v>890</v>
      </c>
      <c r="F426" s="1" t="s">
        <v>32</v>
      </c>
      <c r="G426" s="1" t="s">
        <v>2722</v>
      </c>
      <c r="H426" s="18"/>
    </row>
    <row r="427" spans="1:8">
      <c r="A427" s="1" t="s">
        <v>1979</v>
      </c>
      <c r="B427" s="1" t="s">
        <v>876</v>
      </c>
      <c r="C427" s="1"/>
      <c r="D427" s="1" t="s">
        <v>1135</v>
      </c>
      <c r="E427" s="1" t="s">
        <v>890</v>
      </c>
      <c r="F427" s="1" t="s">
        <v>32</v>
      </c>
      <c r="G427" s="1" t="s">
        <v>2722</v>
      </c>
      <c r="H427" s="18"/>
    </row>
    <row r="428" spans="1:8">
      <c r="A428" s="1" t="s">
        <v>1980</v>
      </c>
      <c r="B428" s="1" t="s">
        <v>876</v>
      </c>
      <c r="C428" s="1"/>
      <c r="D428" s="1" t="s">
        <v>1223</v>
      </c>
      <c r="E428" s="1" t="s">
        <v>890</v>
      </c>
      <c r="F428" s="1" t="s">
        <v>32</v>
      </c>
      <c r="G428" s="1" t="s">
        <v>2722</v>
      </c>
      <c r="H428" s="18"/>
    </row>
    <row r="429" spans="1:8">
      <c r="A429" s="1" t="s">
        <v>1981</v>
      </c>
      <c r="B429" s="1" t="s">
        <v>876</v>
      </c>
      <c r="C429" s="1"/>
      <c r="D429" s="1" t="s">
        <v>1081</v>
      </c>
      <c r="E429" s="1" t="s">
        <v>880</v>
      </c>
      <c r="F429" s="1" t="s">
        <v>32</v>
      </c>
      <c r="G429" s="1" t="s">
        <v>2720</v>
      </c>
      <c r="H429" s="18"/>
    </row>
    <row r="430" spans="1:8">
      <c r="A430" s="1" t="s">
        <v>1982</v>
      </c>
      <c r="B430" s="1" t="s">
        <v>876</v>
      </c>
      <c r="C430" s="1"/>
      <c r="D430" s="1" t="s">
        <v>1114</v>
      </c>
      <c r="E430" s="1" t="s">
        <v>890</v>
      </c>
      <c r="F430" s="1" t="s">
        <v>32</v>
      </c>
      <c r="G430" s="1" t="s">
        <v>2722</v>
      </c>
      <c r="H430" s="18"/>
    </row>
    <row r="431" spans="1:8">
      <c r="A431" s="1" t="s">
        <v>1983</v>
      </c>
      <c r="B431" s="1" t="s">
        <v>876</v>
      </c>
      <c r="C431" s="1"/>
      <c r="D431" s="1" t="s">
        <v>1229</v>
      </c>
      <c r="E431" s="1" t="s">
        <v>890</v>
      </c>
      <c r="F431" s="1" t="s">
        <v>32</v>
      </c>
      <c r="G431" s="1" t="s">
        <v>2722</v>
      </c>
      <c r="H431" s="18"/>
    </row>
    <row r="432" spans="1:8">
      <c r="A432" s="1" t="s">
        <v>1984</v>
      </c>
      <c r="B432" s="1" t="s">
        <v>876</v>
      </c>
      <c r="C432" s="1"/>
      <c r="D432" s="1" t="s">
        <v>1231</v>
      </c>
      <c r="E432" s="1" t="s">
        <v>66</v>
      </c>
      <c r="F432" s="1" t="s">
        <v>32</v>
      </c>
      <c r="G432" s="1" t="s">
        <v>2719</v>
      </c>
      <c r="H432" s="18"/>
    </row>
    <row r="433" spans="1:8">
      <c r="A433" s="1" t="s">
        <v>1985</v>
      </c>
      <c r="B433" s="1" t="s">
        <v>876</v>
      </c>
      <c r="C433" s="1"/>
      <c r="D433" s="1" t="s">
        <v>1024</v>
      </c>
      <c r="E433" s="1" t="s">
        <v>880</v>
      </c>
      <c r="F433" s="1" t="s">
        <v>32</v>
      </c>
      <c r="G433" s="1" t="s">
        <v>2720</v>
      </c>
      <c r="H433" s="18"/>
    </row>
    <row r="434" spans="1:8">
      <c r="A434" s="1" t="s">
        <v>1986</v>
      </c>
      <c r="B434" s="1" t="s">
        <v>876</v>
      </c>
      <c r="C434" s="1"/>
      <c r="D434" s="1" t="s">
        <v>1234</v>
      </c>
      <c r="E434" s="1" t="s">
        <v>880</v>
      </c>
      <c r="F434" s="1" t="s">
        <v>32</v>
      </c>
      <c r="G434" s="1" t="s">
        <v>2720</v>
      </c>
      <c r="H434" s="18"/>
    </row>
    <row r="435" spans="1:8">
      <c r="A435" s="1" t="s">
        <v>1987</v>
      </c>
      <c r="B435" s="1" t="s">
        <v>876</v>
      </c>
      <c r="C435" s="1"/>
      <c r="D435" s="1" t="s">
        <v>1236</v>
      </c>
      <c r="E435" s="1" t="s">
        <v>66</v>
      </c>
      <c r="F435" s="1" t="s">
        <v>32</v>
      </c>
      <c r="G435" s="1" t="s">
        <v>2719</v>
      </c>
      <c r="H435" s="18"/>
    </row>
    <row r="436" spans="1:8">
      <c r="A436" s="1" t="s">
        <v>1988</v>
      </c>
      <c r="B436" s="1" t="s">
        <v>876</v>
      </c>
      <c r="C436" s="1"/>
      <c r="D436" s="1" t="s">
        <v>1238</v>
      </c>
      <c r="E436" s="1" t="s">
        <v>66</v>
      </c>
      <c r="F436" s="1" t="s">
        <v>32</v>
      </c>
      <c r="G436" s="1" t="s">
        <v>2719</v>
      </c>
      <c r="H436" s="18"/>
    </row>
    <row r="437" spans="1:8">
      <c r="A437" s="1" t="s">
        <v>1989</v>
      </c>
      <c r="B437" s="1" t="s">
        <v>876</v>
      </c>
      <c r="C437" s="1"/>
      <c r="D437" s="1" t="s">
        <v>1240</v>
      </c>
      <c r="E437" s="1" t="s">
        <v>66</v>
      </c>
      <c r="F437" s="1" t="s">
        <v>32</v>
      </c>
      <c r="G437" s="1" t="s">
        <v>2719</v>
      </c>
      <c r="H437" s="17"/>
    </row>
    <row r="438" spans="1:8">
      <c r="A438" s="1" t="s">
        <v>1990</v>
      </c>
      <c r="B438" s="1" t="s">
        <v>876</v>
      </c>
      <c r="C438" s="1"/>
      <c r="D438" s="1" t="s">
        <v>1242</v>
      </c>
      <c r="E438" s="1" t="s">
        <v>880</v>
      </c>
      <c r="F438" s="1" t="s">
        <v>32</v>
      </c>
      <c r="G438" s="1" t="s">
        <v>2720</v>
      </c>
      <c r="H438" s="17"/>
    </row>
    <row r="439" spans="1:8">
      <c r="A439" s="1" t="s">
        <v>1991</v>
      </c>
      <c r="B439" s="1" t="s">
        <v>876</v>
      </c>
      <c r="C439" s="1"/>
      <c r="D439" s="1" t="s">
        <v>1244</v>
      </c>
      <c r="E439" s="1" t="s">
        <v>1015</v>
      </c>
      <c r="F439" s="1" t="s">
        <v>32</v>
      </c>
      <c r="G439" s="1" t="s">
        <v>2726</v>
      </c>
      <c r="H439" s="18"/>
    </row>
    <row r="440" spans="1:8">
      <c r="A440" s="1" t="s">
        <v>1992</v>
      </c>
      <c r="B440" s="1" t="s">
        <v>876</v>
      </c>
      <c r="C440" s="1"/>
      <c r="D440" s="1" t="s">
        <v>979</v>
      </c>
      <c r="E440" s="1" t="s">
        <v>66</v>
      </c>
      <c r="F440" s="1" t="s">
        <v>32</v>
      </c>
      <c r="G440" s="1" t="s">
        <v>2719</v>
      </c>
      <c r="H440" s="18"/>
    </row>
    <row r="441" spans="1:8">
      <c r="A441" s="1" t="s">
        <v>1993</v>
      </c>
      <c r="B441" s="1" t="s">
        <v>876</v>
      </c>
      <c r="C441" s="1"/>
      <c r="D441" s="1" t="s">
        <v>962</v>
      </c>
      <c r="E441" s="1" t="s">
        <v>66</v>
      </c>
      <c r="F441" s="1" t="s">
        <v>32</v>
      </c>
      <c r="G441" s="1" t="s">
        <v>2719</v>
      </c>
      <c r="H441" s="18"/>
    </row>
    <row r="442" spans="1:8">
      <c r="A442" s="1" t="s">
        <v>1994</v>
      </c>
      <c r="B442" s="1" t="s">
        <v>876</v>
      </c>
      <c r="C442" s="1"/>
      <c r="D442" s="1" t="s">
        <v>1248</v>
      </c>
      <c r="E442" s="1" t="s">
        <v>930</v>
      </c>
      <c r="F442" s="1" t="s">
        <v>32</v>
      </c>
      <c r="G442" s="1" t="s">
        <v>2723</v>
      </c>
      <c r="H442" s="18"/>
    </row>
    <row r="443" spans="1:8">
      <c r="A443" s="1" t="s">
        <v>1995</v>
      </c>
      <c r="B443" s="1" t="s">
        <v>876</v>
      </c>
      <c r="C443" s="1"/>
      <c r="D443" s="1" t="s">
        <v>1238</v>
      </c>
      <c r="E443" s="1" t="s">
        <v>880</v>
      </c>
      <c r="F443" s="1" t="s">
        <v>32</v>
      </c>
      <c r="G443" s="1" t="s">
        <v>2720</v>
      </c>
      <c r="H443" s="18"/>
    </row>
    <row r="444" spans="1:8">
      <c r="A444" s="1" t="s">
        <v>1996</v>
      </c>
      <c r="B444" s="1" t="s">
        <v>876</v>
      </c>
      <c r="C444" s="1"/>
      <c r="D444" s="1" t="s">
        <v>1231</v>
      </c>
      <c r="E444" s="1" t="s">
        <v>880</v>
      </c>
      <c r="F444" s="1" t="s">
        <v>32</v>
      </c>
      <c r="G444" s="1" t="s">
        <v>2720</v>
      </c>
      <c r="H444" s="18"/>
    </row>
    <row r="445" spans="1:8">
      <c r="A445" s="1" t="s">
        <v>1997</v>
      </c>
      <c r="B445" s="1" t="s">
        <v>876</v>
      </c>
      <c r="C445" s="1"/>
      <c r="D445" s="1" t="s">
        <v>1252</v>
      </c>
      <c r="E445" s="1" t="s">
        <v>880</v>
      </c>
      <c r="F445" s="1" t="s">
        <v>32</v>
      </c>
      <c r="G445" s="1" t="s">
        <v>2720</v>
      </c>
      <c r="H445" s="18"/>
    </row>
    <row r="446" spans="1:8">
      <c r="A446" s="1" t="s">
        <v>1998</v>
      </c>
      <c r="B446" s="1" t="s">
        <v>876</v>
      </c>
      <c r="C446" s="1"/>
      <c r="D446" s="1" t="s">
        <v>1254</v>
      </c>
      <c r="E446" s="1" t="s">
        <v>66</v>
      </c>
      <c r="F446" s="1" t="s">
        <v>32</v>
      </c>
      <c r="G446" s="1" t="s">
        <v>2719</v>
      </c>
      <c r="H446" s="18"/>
    </row>
    <row r="447" spans="1:8">
      <c r="A447" s="1" t="s">
        <v>1999</v>
      </c>
      <c r="B447" s="1" t="s">
        <v>876</v>
      </c>
      <c r="C447" s="1"/>
      <c r="D447" s="1" t="s">
        <v>1256</v>
      </c>
      <c r="E447" s="1" t="s">
        <v>890</v>
      </c>
      <c r="F447" s="1" t="s">
        <v>32</v>
      </c>
      <c r="G447" s="1" t="s">
        <v>2722</v>
      </c>
      <c r="H447" s="18"/>
    </row>
    <row r="448" spans="1:8">
      <c r="A448" s="1" t="s">
        <v>2000</v>
      </c>
      <c r="B448" s="1" t="s">
        <v>876</v>
      </c>
      <c r="C448" s="1"/>
      <c r="D448" s="1" t="s">
        <v>1258</v>
      </c>
      <c r="E448" s="1" t="s">
        <v>66</v>
      </c>
      <c r="F448" s="1" t="s">
        <v>32</v>
      </c>
      <c r="G448" s="1" t="s">
        <v>2719</v>
      </c>
      <c r="H448" s="18"/>
    </row>
    <row r="449" spans="1:26">
      <c r="A449" s="1" t="s">
        <v>2001</v>
      </c>
      <c r="B449" s="1" t="s">
        <v>876</v>
      </c>
      <c r="C449" s="1"/>
      <c r="D449" s="1" t="s">
        <v>1260</v>
      </c>
      <c r="E449" s="1" t="s">
        <v>880</v>
      </c>
      <c r="F449" s="1" t="s">
        <v>32</v>
      </c>
      <c r="G449" s="1" t="s">
        <v>2720</v>
      </c>
      <c r="H449" s="18"/>
    </row>
    <row r="450" spans="1:26">
      <c r="A450" s="1" t="s">
        <v>2002</v>
      </c>
      <c r="B450" s="1" t="s">
        <v>876</v>
      </c>
      <c r="C450" s="1"/>
      <c r="D450" s="1" t="s">
        <v>1211</v>
      </c>
      <c r="E450" s="1" t="s">
        <v>66</v>
      </c>
      <c r="F450" s="1" t="s">
        <v>32</v>
      </c>
      <c r="G450" s="1" t="s">
        <v>2719</v>
      </c>
      <c r="H450" s="18"/>
    </row>
    <row r="451" spans="1:26">
      <c r="A451" s="1" t="s">
        <v>2003</v>
      </c>
      <c r="B451" s="1" t="s">
        <v>876</v>
      </c>
      <c r="C451" s="1"/>
      <c r="D451" s="1" t="s">
        <v>996</v>
      </c>
      <c r="E451" s="1" t="s">
        <v>31</v>
      </c>
      <c r="F451" s="1" t="s">
        <v>32</v>
      </c>
      <c r="G451" s="1" t="s">
        <v>2721</v>
      </c>
      <c r="H451" s="18"/>
    </row>
    <row r="452" spans="1:26">
      <c r="A452" s="1" t="s">
        <v>2004</v>
      </c>
      <c r="B452" s="1" t="s">
        <v>876</v>
      </c>
      <c r="C452" s="1"/>
      <c r="D452" s="1" t="s">
        <v>1264</v>
      </c>
      <c r="E452" s="1" t="s">
        <v>880</v>
      </c>
      <c r="F452" s="1" t="s">
        <v>32</v>
      </c>
      <c r="G452" s="1" t="s">
        <v>2720</v>
      </c>
      <c r="H452" s="18"/>
    </row>
    <row r="453" spans="1:26">
      <c r="A453" s="1" t="s">
        <v>2005</v>
      </c>
      <c r="B453" s="1" t="s">
        <v>876</v>
      </c>
      <c r="C453" s="1"/>
      <c r="D453" s="1" t="s">
        <v>1120</v>
      </c>
      <c r="E453" s="1" t="s">
        <v>890</v>
      </c>
      <c r="F453" s="1" t="s">
        <v>32</v>
      </c>
      <c r="G453" s="1" t="s">
        <v>2722</v>
      </c>
      <c r="H453" s="18"/>
    </row>
    <row r="454" spans="1:26">
      <c r="A454" s="1" t="s">
        <v>2006</v>
      </c>
      <c r="B454" s="1" t="s">
        <v>876</v>
      </c>
      <c r="C454" s="1"/>
      <c r="D454" s="1" t="s">
        <v>1267</v>
      </c>
      <c r="E454" s="1" t="s">
        <v>890</v>
      </c>
      <c r="F454" s="1" t="s">
        <v>32</v>
      </c>
      <c r="G454" s="1" t="s">
        <v>2722</v>
      </c>
      <c r="H454" s="18"/>
    </row>
    <row r="455" spans="1:26">
      <c r="A455" s="1" t="s">
        <v>2007</v>
      </c>
      <c r="B455" s="1" t="s">
        <v>876</v>
      </c>
      <c r="C455" s="1"/>
      <c r="D455" s="1" t="s">
        <v>1269</v>
      </c>
      <c r="E455" s="1" t="s">
        <v>930</v>
      </c>
      <c r="F455" s="1" t="s">
        <v>32</v>
      </c>
      <c r="G455" s="1" t="s">
        <v>2723</v>
      </c>
      <c r="H455" s="18"/>
    </row>
    <row r="456" spans="1:26">
      <c r="A456" s="1" t="s">
        <v>2008</v>
      </c>
      <c r="B456" s="1" t="s">
        <v>876</v>
      </c>
      <c r="C456" s="1"/>
      <c r="D456" s="1" t="s">
        <v>1202</v>
      </c>
      <c r="E456" s="1" t="s">
        <v>66</v>
      </c>
      <c r="F456" s="1" t="s">
        <v>32</v>
      </c>
      <c r="G456" s="1" t="s">
        <v>2719</v>
      </c>
      <c r="H456" s="18"/>
    </row>
    <row r="457" spans="1:26">
      <c r="A457" s="1" t="s">
        <v>2009</v>
      </c>
      <c r="B457" s="1" t="s">
        <v>876</v>
      </c>
      <c r="C457" s="1"/>
      <c r="D457" s="1" t="s">
        <v>1272</v>
      </c>
      <c r="E457" s="1" t="s">
        <v>66</v>
      </c>
      <c r="F457" s="1" t="s">
        <v>32</v>
      </c>
      <c r="G457" s="1" t="s">
        <v>2719</v>
      </c>
      <c r="H457" s="18"/>
    </row>
    <row r="458" spans="1:26">
      <c r="A458" s="1" t="s">
        <v>2010</v>
      </c>
      <c r="B458" s="1" t="s">
        <v>876</v>
      </c>
      <c r="C458" s="1"/>
      <c r="D458" s="1" t="s">
        <v>1264</v>
      </c>
      <c r="E458" s="1" t="s">
        <v>66</v>
      </c>
      <c r="F458" s="1" t="s">
        <v>32</v>
      </c>
      <c r="G458" s="1" t="s">
        <v>2719</v>
      </c>
      <c r="H458" s="18"/>
    </row>
    <row r="459" spans="1:26" s="2" customFormat="1">
      <c r="A459" s="1" t="s">
        <v>2011</v>
      </c>
      <c r="B459" s="1" t="s">
        <v>876</v>
      </c>
      <c r="C459" s="1"/>
      <c r="D459" s="1" t="s">
        <v>1275</v>
      </c>
      <c r="E459" s="1" t="s">
        <v>42</v>
      </c>
      <c r="F459" s="1" t="s">
        <v>32</v>
      </c>
      <c r="G459" s="1" t="s">
        <v>2716</v>
      </c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>
      <c r="A460" s="1" t="s">
        <v>2012</v>
      </c>
      <c r="B460" s="1" t="s">
        <v>876</v>
      </c>
      <c r="C460" s="1"/>
      <c r="D460" s="1" t="s">
        <v>1279</v>
      </c>
      <c r="E460" s="1" t="s">
        <v>1015</v>
      </c>
      <c r="F460" s="1" t="s">
        <v>32</v>
      </c>
      <c r="G460" s="1" t="s">
        <v>2726</v>
      </c>
      <c r="H460" s="18"/>
    </row>
    <row r="461" spans="1:26">
      <c r="A461" s="1" t="s">
        <v>2013</v>
      </c>
      <c r="B461" s="1" t="s">
        <v>876</v>
      </c>
      <c r="C461" s="1"/>
      <c r="D461" s="1" t="s">
        <v>1198</v>
      </c>
      <c r="E461" s="1" t="s">
        <v>880</v>
      </c>
      <c r="F461" s="1" t="s">
        <v>32</v>
      </c>
      <c r="G461" s="1" t="s">
        <v>2720</v>
      </c>
      <c r="H461" s="18"/>
    </row>
    <row r="462" spans="1:26">
      <c r="A462" s="1" t="s">
        <v>2014</v>
      </c>
      <c r="B462" s="1" t="s">
        <v>876</v>
      </c>
      <c r="C462" s="1"/>
      <c r="D462" s="1" t="s">
        <v>1282</v>
      </c>
      <c r="E462" s="1" t="s">
        <v>42</v>
      </c>
      <c r="F462" s="1" t="s">
        <v>32</v>
      </c>
      <c r="G462" s="1" t="s">
        <v>2716</v>
      </c>
      <c r="H462" s="18"/>
    </row>
    <row r="463" spans="1:26">
      <c r="A463" s="1" t="s">
        <v>2015</v>
      </c>
      <c r="B463" s="1" t="s">
        <v>876</v>
      </c>
      <c r="C463" s="1"/>
      <c r="D463" s="1" t="s">
        <v>904</v>
      </c>
      <c r="E463" s="1" t="s">
        <v>880</v>
      </c>
      <c r="F463" s="1" t="s">
        <v>32</v>
      </c>
      <c r="G463" s="1" t="s">
        <v>2720</v>
      </c>
      <c r="H463" s="18"/>
    </row>
    <row r="464" spans="1:26">
      <c r="A464" s="1" t="s">
        <v>2016</v>
      </c>
      <c r="B464" s="1" t="s">
        <v>876</v>
      </c>
      <c r="C464" s="1"/>
      <c r="D464" s="1" t="s">
        <v>1285</v>
      </c>
      <c r="E464" s="1" t="s">
        <v>940</v>
      </c>
      <c r="F464" s="1" t="s">
        <v>32</v>
      </c>
      <c r="G464" s="1" t="s">
        <v>2724</v>
      </c>
      <c r="H464" s="18"/>
    </row>
    <row r="465" spans="1:8">
      <c r="A465" s="1" t="s">
        <v>2017</v>
      </c>
      <c r="B465" s="1" t="s">
        <v>876</v>
      </c>
      <c r="C465" s="1"/>
      <c r="D465" s="1" t="s">
        <v>1287</v>
      </c>
      <c r="E465" s="1" t="s">
        <v>880</v>
      </c>
      <c r="F465" s="1" t="s">
        <v>32</v>
      </c>
      <c r="G465" s="1" t="s">
        <v>2720</v>
      </c>
      <c r="H465" s="17"/>
    </row>
    <row r="466" spans="1:8">
      <c r="A466" s="1" t="s">
        <v>2018</v>
      </c>
      <c r="B466" s="1" t="s">
        <v>876</v>
      </c>
      <c r="C466" s="1"/>
      <c r="D466" s="1" t="s">
        <v>1289</v>
      </c>
      <c r="E466" s="1" t="s">
        <v>66</v>
      </c>
      <c r="F466" s="1" t="s">
        <v>32</v>
      </c>
      <c r="G466" s="1" t="s">
        <v>2719</v>
      </c>
      <c r="H466" s="18"/>
    </row>
    <row r="467" spans="1:8">
      <c r="A467" s="1" t="s">
        <v>2019</v>
      </c>
      <c r="B467" s="1" t="s">
        <v>876</v>
      </c>
      <c r="C467" s="1"/>
      <c r="D467" s="1" t="s">
        <v>920</v>
      </c>
      <c r="E467" s="1" t="s">
        <v>880</v>
      </c>
      <c r="F467" s="1" t="s">
        <v>32</v>
      </c>
      <c r="G467" s="1" t="s">
        <v>2720</v>
      </c>
      <c r="H467" s="17"/>
    </row>
    <row r="468" spans="1:8">
      <c r="A468" s="1" t="s">
        <v>2020</v>
      </c>
      <c r="B468" s="1" t="s">
        <v>876</v>
      </c>
      <c r="C468" s="1"/>
      <c r="D468" s="1" t="s">
        <v>1292</v>
      </c>
      <c r="E468" s="1" t="s">
        <v>890</v>
      </c>
      <c r="F468" s="1" t="s">
        <v>32</v>
      </c>
      <c r="G468" s="1" t="s">
        <v>2722</v>
      </c>
      <c r="H468" s="18"/>
    </row>
    <row r="469" spans="1:8">
      <c r="A469" s="1" t="s">
        <v>2021</v>
      </c>
      <c r="B469" s="1" t="s">
        <v>876</v>
      </c>
      <c r="C469" s="1"/>
      <c r="D469" s="1" t="s">
        <v>896</v>
      </c>
      <c r="E469" s="1" t="s">
        <v>880</v>
      </c>
      <c r="F469" s="1" t="s">
        <v>32</v>
      </c>
      <c r="G469" s="1" t="s">
        <v>2720</v>
      </c>
      <c r="H469" s="18"/>
    </row>
    <row r="470" spans="1:8">
      <c r="A470" s="1" t="s">
        <v>2022</v>
      </c>
      <c r="B470" s="1" t="s">
        <v>876</v>
      </c>
      <c r="C470" s="1"/>
      <c r="D470" s="1" t="s">
        <v>1068</v>
      </c>
      <c r="E470" s="1" t="s">
        <v>42</v>
      </c>
      <c r="F470" s="1" t="s">
        <v>32</v>
      </c>
      <c r="G470" s="1" t="s">
        <v>2716</v>
      </c>
      <c r="H470" s="18"/>
    </row>
    <row r="471" spans="1:8">
      <c r="A471" s="1" t="s">
        <v>2023</v>
      </c>
      <c r="B471" s="1" t="s">
        <v>876</v>
      </c>
      <c r="C471" s="1"/>
      <c r="D471" s="1" t="s">
        <v>879</v>
      </c>
      <c r="E471" s="1" t="s">
        <v>66</v>
      </c>
      <c r="F471" s="1" t="s">
        <v>32</v>
      </c>
      <c r="G471" s="1" t="s">
        <v>2719</v>
      </c>
      <c r="H471" s="18"/>
    </row>
    <row r="472" spans="1:8">
      <c r="A472" s="1" t="s">
        <v>2024</v>
      </c>
      <c r="B472" s="1" t="s">
        <v>876</v>
      </c>
      <c r="C472" s="1"/>
      <c r="D472" s="1" t="s">
        <v>1297</v>
      </c>
      <c r="E472" s="1" t="s">
        <v>66</v>
      </c>
      <c r="F472" s="1" t="s">
        <v>32</v>
      </c>
      <c r="G472" s="1" t="s">
        <v>2719</v>
      </c>
      <c r="H472" s="18"/>
    </row>
    <row r="473" spans="1:8">
      <c r="A473" s="1" t="s">
        <v>2025</v>
      </c>
      <c r="B473" s="1" t="s">
        <v>876</v>
      </c>
      <c r="C473" s="1"/>
      <c r="D473" s="1" t="s">
        <v>1299</v>
      </c>
      <c r="E473" s="1" t="s">
        <v>66</v>
      </c>
      <c r="F473" s="1" t="s">
        <v>32</v>
      </c>
      <c r="G473" s="1" t="s">
        <v>2719</v>
      </c>
      <c r="H473" s="18"/>
    </row>
    <row r="474" spans="1:8">
      <c r="A474" s="1" t="s">
        <v>2026</v>
      </c>
      <c r="B474" s="1" t="s">
        <v>876</v>
      </c>
      <c r="C474" s="1"/>
      <c r="D474" s="1" t="s">
        <v>996</v>
      </c>
      <c r="E474" s="1" t="s">
        <v>66</v>
      </c>
      <c r="F474" s="1" t="s">
        <v>32</v>
      </c>
      <c r="G474" s="1" t="s">
        <v>2719</v>
      </c>
      <c r="H474" s="18"/>
    </row>
    <row r="475" spans="1:8">
      <c r="A475" s="1" t="s">
        <v>2027</v>
      </c>
      <c r="B475" s="1" t="s">
        <v>876</v>
      </c>
      <c r="C475" s="1"/>
      <c r="D475" s="1" t="s">
        <v>1155</v>
      </c>
      <c r="E475" s="1" t="s">
        <v>890</v>
      </c>
      <c r="F475" s="1" t="s">
        <v>32</v>
      </c>
      <c r="G475" s="1" t="s">
        <v>2722</v>
      </c>
      <c r="H475" s="18"/>
    </row>
    <row r="476" spans="1:8">
      <c r="A476" s="1" t="s">
        <v>2028</v>
      </c>
      <c r="B476" s="1" t="s">
        <v>876</v>
      </c>
      <c r="C476" s="1"/>
      <c r="D476" s="1" t="s">
        <v>1303</v>
      </c>
      <c r="E476" s="1" t="s">
        <v>66</v>
      </c>
      <c r="F476" s="1" t="s">
        <v>32</v>
      </c>
      <c r="G476" s="1" t="s">
        <v>2719</v>
      </c>
      <c r="H476" s="18"/>
    </row>
    <row r="477" spans="1:8">
      <c r="A477" s="1" t="s">
        <v>2029</v>
      </c>
      <c r="B477" s="1" t="s">
        <v>876</v>
      </c>
      <c r="C477" s="1"/>
      <c r="D477" s="1" t="s">
        <v>1260</v>
      </c>
      <c r="E477" s="1" t="s">
        <v>66</v>
      </c>
      <c r="F477" s="1" t="s">
        <v>32</v>
      </c>
      <c r="G477" s="1" t="s">
        <v>2719</v>
      </c>
      <c r="H477" s="18"/>
    </row>
    <row r="478" spans="1:8">
      <c r="A478" s="1" t="s">
        <v>2030</v>
      </c>
      <c r="B478" s="1" t="s">
        <v>876</v>
      </c>
      <c r="C478" s="1"/>
      <c r="D478" s="1" t="s">
        <v>1306</v>
      </c>
      <c r="E478" s="1" t="s">
        <v>66</v>
      </c>
      <c r="F478" s="1" t="s">
        <v>32</v>
      </c>
      <c r="G478" s="1" t="s">
        <v>2719</v>
      </c>
      <c r="H478" s="18"/>
    </row>
    <row r="479" spans="1:8">
      <c r="A479" s="1" t="s">
        <v>2031</v>
      </c>
      <c r="B479" s="1" t="s">
        <v>876</v>
      </c>
      <c r="C479" s="1"/>
      <c r="D479" s="1" t="s">
        <v>1308</v>
      </c>
      <c r="E479" s="1" t="s">
        <v>880</v>
      </c>
      <c r="F479" s="1" t="s">
        <v>32</v>
      </c>
      <c r="G479" s="1" t="s">
        <v>2720</v>
      </c>
      <c r="H479" s="18"/>
    </row>
    <row r="480" spans="1:8">
      <c r="A480" s="1" t="s">
        <v>2032</v>
      </c>
      <c r="B480" s="1" t="s">
        <v>876</v>
      </c>
      <c r="C480" s="1"/>
      <c r="D480" s="1" t="s">
        <v>1310</v>
      </c>
      <c r="E480" s="1" t="s">
        <v>66</v>
      </c>
      <c r="F480" s="1" t="s">
        <v>32</v>
      </c>
      <c r="G480" s="1" t="s">
        <v>2719</v>
      </c>
      <c r="H480" s="18"/>
    </row>
    <row r="481" spans="1:8">
      <c r="A481" s="1" t="s">
        <v>2033</v>
      </c>
      <c r="B481" s="1" t="s">
        <v>876</v>
      </c>
      <c r="C481" s="1"/>
      <c r="D481" s="1" t="s">
        <v>1312</v>
      </c>
      <c r="E481" s="1" t="s">
        <v>31</v>
      </c>
      <c r="F481" s="1" t="s">
        <v>32</v>
      </c>
      <c r="G481" s="1" t="s">
        <v>2721</v>
      </c>
      <c r="H481" s="18"/>
    </row>
    <row r="482" spans="1:8">
      <c r="A482" s="1" t="s">
        <v>2034</v>
      </c>
      <c r="B482" s="1" t="s">
        <v>876</v>
      </c>
      <c r="C482" s="1"/>
      <c r="D482" s="1" t="s">
        <v>1314</v>
      </c>
      <c r="E482" s="1" t="s">
        <v>66</v>
      </c>
      <c r="F482" s="1" t="s">
        <v>32</v>
      </c>
      <c r="G482" s="1" t="s">
        <v>2719</v>
      </c>
      <c r="H482" s="18"/>
    </row>
    <row r="483" spans="1:8">
      <c r="A483" s="1" t="s">
        <v>2035</v>
      </c>
      <c r="B483" s="1" t="s">
        <v>876</v>
      </c>
      <c r="C483" s="1"/>
      <c r="D483" s="1" t="s">
        <v>1118</v>
      </c>
      <c r="E483" s="1" t="s">
        <v>880</v>
      </c>
      <c r="F483" s="1" t="s">
        <v>32</v>
      </c>
      <c r="G483" s="1" t="s">
        <v>2720</v>
      </c>
      <c r="H483" s="18"/>
    </row>
    <row r="484" spans="1:8">
      <c r="A484" s="1" t="s">
        <v>2036</v>
      </c>
      <c r="B484" s="1" t="s">
        <v>876</v>
      </c>
      <c r="C484" s="1"/>
      <c r="D484" s="1" t="s">
        <v>1317</v>
      </c>
      <c r="E484" s="1" t="s">
        <v>42</v>
      </c>
      <c r="F484" s="1" t="s">
        <v>32</v>
      </c>
      <c r="G484" s="1" t="s">
        <v>2716</v>
      </c>
      <c r="H484" s="18"/>
    </row>
    <row r="485" spans="1:8">
      <c r="A485" s="1" t="s">
        <v>2037</v>
      </c>
      <c r="B485" s="1" t="s">
        <v>876</v>
      </c>
      <c r="C485" s="1"/>
      <c r="D485" s="1" t="s">
        <v>1252</v>
      </c>
      <c r="E485" s="1" t="s">
        <v>66</v>
      </c>
      <c r="F485" s="1" t="s">
        <v>32</v>
      </c>
      <c r="G485" s="1" t="s">
        <v>2719</v>
      </c>
      <c r="H485" s="18"/>
    </row>
    <row r="486" spans="1:8">
      <c r="A486" s="1" t="s">
        <v>2038</v>
      </c>
      <c r="B486" s="1" t="s">
        <v>876</v>
      </c>
      <c r="C486" s="1"/>
      <c r="D486" s="1" t="s">
        <v>1320</v>
      </c>
      <c r="E486" s="1" t="s">
        <v>880</v>
      </c>
      <c r="F486" s="1" t="s">
        <v>32</v>
      </c>
      <c r="G486" s="1" t="s">
        <v>2720</v>
      </c>
      <c r="H486" s="18"/>
    </row>
    <row r="487" spans="1:8">
      <c r="A487" s="1" t="s">
        <v>2039</v>
      </c>
      <c r="B487" s="1" t="s">
        <v>876</v>
      </c>
      <c r="C487" s="1"/>
      <c r="D487" s="1" t="s">
        <v>1322</v>
      </c>
      <c r="E487" s="1" t="s">
        <v>66</v>
      </c>
      <c r="F487" s="1" t="s">
        <v>32</v>
      </c>
      <c r="G487" s="1" t="s">
        <v>2719</v>
      </c>
      <c r="H487" s="18"/>
    </row>
    <row r="488" spans="1:8">
      <c r="A488" s="1" t="s">
        <v>2040</v>
      </c>
      <c r="B488" s="1" t="s">
        <v>876</v>
      </c>
      <c r="C488" s="1"/>
      <c r="D488" s="1" t="s">
        <v>1179</v>
      </c>
      <c r="E488" s="1" t="s">
        <v>880</v>
      </c>
      <c r="F488" s="1" t="s">
        <v>32</v>
      </c>
      <c r="G488" s="1" t="s">
        <v>2720</v>
      </c>
      <c r="H488" s="18"/>
    </row>
    <row r="489" spans="1:8">
      <c r="A489" s="1" t="s">
        <v>2041</v>
      </c>
      <c r="B489" s="1" t="s">
        <v>876</v>
      </c>
      <c r="C489" s="1"/>
      <c r="D489" s="1" t="s">
        <v>974</v>
      </c>
      <c r="E489" s="1" t="s">
        <v>66</v>
      </c>
      <c r="F489" s="1" t="s">
        <v>32</v>
      </c>
      <c r="G489" s="1" t="s">
        <v>2719</v>
      </c>
      <c r="H489" s="18"/>
    </row>
    <row r="490" spans="1:8">
      <c r="A490" s="1" t="s">
        <v>2042</v>
      </c>
      <c r="B490" s="1" t="s">
        <v>876</v>
      </c>
      <c r="C490" s="1"/>
      <c r="D490" s="1" t="s">
        <v>1326</v>
      </c>
      <c r="E490" s="1" t="s">
        <v>66</v>
      </c>
      <c r="F490" s="1" t="s">
        <v>32</v>
      </c>
      <c r="G490" s="1" t="s">
        <v>2719</v>
      </c>
      <c r="H490" s="18"/>
    </row>
    <row r="491" spans="1:8">
      <c r="A491" s="1" t="s">
        <v>2043</v>
      </c>
      <c r="B491" s="1" t="s">
        <v>876</v>
      </c>
      <c r="C491" s="1"/>
      <c r="D491" s="1" t="s">
        <v>1328</v>
      </c>
      <c r="E491" s="1" t="s">
        <v>1015</v>
      </c>
      <c r="F491" s="1" t="s">
        <v>32</v>
      </c>
      <c r="G491" s="1" t="s">
        <v>2726</v>
      </c>
      <c r="H491" s="18"/>
    </row>
    <row r="492" spans="1:8">
      <c r="A492" s="1" t="s">
        <v>2044</v>
      </c>
      <c r="B492" s="1" t="s">
        <v>876</v>
      </c>
      <c r="C492" s="1"/>
      <c r="D492" s="1" t="s">
        <v>1330</v>
      </c>
      <c r="E492" s="1" t="s">
        <v>930</v>
      </c>
      <c r="F492" s="1" t="s">
        <v>32</v>
      </c>
      <c r="G492" s="1" t="s">
        <v>2723</v>
      </c>
      <c r="H492" s="18"/>
    </row>
    <row r="493" spans="1:8">
      <c r="A493" s="1" t="s">
        <v>2045</v>
      </c>
      <c r="B493" s="1" t="s">
        <v>876</v>
      </c>
      <c r="C493" s="1"/>
      <c r="D493" s="1" t="s">
        <v>1332</v>
      </c>
      <c r="E493" s="1" t="s">
        <v>940</v>
      </c>
      <c r="F493" s="1" t="s">
        <v>32</v>
      </c>
      <c r="G493" s="1" t="s">
        <v>2724</v>
      </c>
      <c r="H493" s="18"/>
    </row>
    <row r="494" spans="1:8">
      <c r="A494" s="1" t="s">
        <v>2046</v>
      </c>
      <c r="B494" s="1" t="s">
        <v>876</v>
      </c>
      <c r="C494" s="1"/>
      <c r="D494" s="1" t="s">
        <v>1334</v>
      </c>
      <c r="E494" s="1" t="s">
        <v>66</v>
      </c>
      <c r="F494" s="1" t="s">
        <v>32</v>
      </c>
      <c r="G494" s="1" t="s">
        <v>2719</v>
      </c>
      <c r="H494" s="17"/>
    </row>
    <row r="495" spans="1:8">
      <c r="A495" s="1" t="s">
        <v>2047</v>
      </c>
      <c r="B495" s="1" t="s">
        <v>876</v>
      </c>
      <c r="C495" s="1"/>
      <c r="D495" s="1" t="s">
        <v>1336</v>
      </c>
      <c r="E495" s="1" t="s">
        <v>880</v>
      </c>
      <c r="F495" s="1" t="s">
        <v>32</v>
      </c>
      <c r="G495" s="1" t="s">
        <v>2720</v>
      </c>
      <c r="H495" s="18"/>
    </row>
    <row r="496" spans="1:8">
      <c r="A496" s="1" t="s">
        <v>2048</v>
      </c>
      <c r="B496" s="1" t="s">
        <v>876</v>
      </c>
      <c r="C496" s="1"/>
      <c r="D496" s="1" t="s">
        <v>1338</v>
      </c>
      <c r="E496" s="1" t="s">
        <v>66</v>
      </c>
      <c r="F496" s="1" t="s">
        <v>32</v>
      </c>
      <c r="G496" s="1" t="s">
        <v>2719</v>
      </c>
      <c r="H496" s="18"/>
    </row>
    <row r="497" spans="1:8">
      <c r="A497" s="1" t="s">
        <v>2049</v>
      </c>
      <c r="B497" s="1" t="s">
        <v>876</v>
      </c>
      <c r="C497" s="1"/>
      <c r="D497" s="1" t="s">
        <v>987</v>
      </c>
      <c r="E497" s="1" t="s">
        <v>66</v>
      </c>
      <c r="F497" s="1" t="s">
        <v>32</v>
      </c>
      <c r="G497" s="1" t="s">
        <v>2719</v>
      </c>
      <c r="H497" s="18"/>
    </row>
    <row r="498" spans="1:8">
      <c r="A498" s="1" t="s">
        <v>2050</v>
      </c>
      <c r="B498" s="1" t="s">
        <v>876</v>
      </c>
      <c r="C498" s="1"/>
      <c r="D498" s="1" t="s">
        <v>1341</v>
      </c>
      <c r="E498" s="1" t="s">
        <v>880</v>
      </c>
      <c r="F498" s="1" t="s">
        <v>32</v>
      </c>
      <c r="G498" s="1" t="s">
        <v>2720</v>
      </c>
      <c r="H498" s="18"/>
    </row>
    <row r="499" spans="1:8">
      <c r="A499" s="1" t="s">
        <v>2051</v>
      </c>
      <c r="B499" s="1" t="s">
        <v>876</v>
      </c>
      <c r="C499" s="1"/>
      <c r="D499" s="1" t="s">
        <v>1343</v>
      </c>
      <c r="E499" s="1" t="s">
        <v>42</v>
      </c>
      <c r="F499" s="1" t="s">
        <v>32</v>
      </c>
      <c r="G499" s="1" t="s">
        <v>2716</v>
      </c>
      <c r="H499" s="18"/>
    </row>
    <row r="500" spans="1:8">
      <c r="A500" s="1" t="s">
        <v>2052</v>
      </c>
      <c r="B500" s="1" t="s">
        <v>876</v>
      </c>
      <c r="C500" s="1"/>
      <c r="D500" s="1" t="s">
        <v>1345</v>
      </c>
      <c r="E500" s="1" t="s">
        <v>940</v>
      </c>
      <c r="F500" s="1" t="s">
        <v>32</v>
      </c>
      <c r="G500" s="1" t="s">
        <v>2724</v>
      </c>
      <c r="H500" s="18"/>
    </row>
    <row r="501" spans="1:8">
      <c r="A501" s="1" t="s">
        <v>2053</v>
      </c>
      <c r="B501" s="1" t="s">
        <v>876</v>
      </c>
      <c r="C501" s="1"/>
      <c r="D501" s="1" t="s">
        <v>1074</v>
      </c>
      <c r="E501" s="1" t="s">
        <v>890</v>
      </c>
      <c r="F501" s="1" t="s">
        <v>32</v>
      </c>
      <c r="G501" s="1" t="s">
        <v>2722</v>
      </c>
      <c r="H501" s="18"/>
    </row>
    <row r="502" spans="1:8">
      <c r="A502" s="1" t="s">
        <v>2054</v>
      </c>
      <c r="B502" s="1" t="s">
        <v>876</v>
      </c>
      <c r="C502" s="1"/>
      <c r="D502" s="1" t="s">
        <v>1348</v>
      </c>
      <c r="E502" s="1" t="s">
        <v>880</v>
      </c>
      <c r="F502" s="1" t="s">
        <v>32</v>
      </c>
      <c r="G502" s="1" t="s">
        <v>2720</v>
      </c>
      <c r="H502" s="18"/>
    </row>
    <row r="503" spans="1:8">
      <c r="A503" s="1" t="s">
        <v>2055</v>
      </c>
      <c r="B503" s="1" t="s">
        <v>876</v>
      </c>
      <c r="C503" s="1"/>
      <c r="D503" s="1" t="s">
        <v>1146</v>
      </c>
      <c r="E503" s="1" t="s">
        <v>880</v>
      </c>
      <c r="F503" s="1" t="s">
        <v>32</v>
      </c>
      <c r="G503" s="1" t="s">
        <v>2720</v>
      </c>
      <c r="H503" s="18"/>
    </row>
    <row r="504" spans="1:8">
      <c r="A504" s="1" t="s">
        <v>2056</v>
      </c>
      <c r="B504" s="1" t="s">
        <v>876</v>
      </c>
      <c r="C504" s="1"/>
      <c r="D504" s="1" t="s">
        <v>993</v>
      </c>
      <c r="E504" s="1" t="s">
        <v>66</v>
      </c>
      <c r="F504" s="1" t="s">
        <v>32</v>
      </c>
      <c r="G504" s="1" t="s">
        <v>2719</v>
      </c>
      <c r="H504" s="18"/>
    </row>
    <row r="505" spans="1:8">
      <c r="A505" s="1" t="s">
        <v>2057</v>
      </c>
      <c r="B505" s="1" t="s">
        <v>876</v>
      </c>
      <c r="C505" s="1"/>
      <c r="D505" s="1" t="s">
        <v>1172</v>
      </c>
      <c r="E505" s="1" t="s">
        <v>66</v>
      </c>
      <c r="F505" s="1" t="s">
        <v>32</v>
      </c>
      <c r="G505" s="1" t="s">
        <v>2719</v>
      </c>
      <c r="H505" s="18"/>
    </row>
    <row r="506" spans="1:8">
      <c r="A506" s="1" t="s">
        <v>2058</v>
      </c>
      <c r="B506" s="1" t="s">
        <v>876</v>
      </c>
      <c r="C506" s="1"/>
      <c r="D506" s="1" t="s">
        <v>1353</v>
      </c>
      <c r="E506" s="1" t="s">
        <v>880</v>
      </c>
      <c r="F506" s="1" t="s">
        <v>32</v>
      </c>
      <c r="G506" s="1" t="s">
        <v>2720</v>
      </c>
      <c r="H506" s="18"/>
    </row>
    <row r="507" spans="1:8">
      <c r="A507" s="1" t="s">
        <v>2059</v>
      </c>
      <c r="B507" s="1" t="s">
        <v>876</v>
      </c>
      <c r="C507" s="1"/>
      <c r="D507" s="1" t="s">
        <v>1355</v>
      </c>
      <c r="E507" s="1" t="s">
        <v>880</v>
      </c>
      <c r="F507" s="1" t="s">
        <v>32</v>
      </c>
      <c r="G507" s="1" t="s">
        <v>2720</v>
      </c>
      <c r="H507" s="18"/>
    </row>
    <row r="508" spans="1:8">
      <c r="A508" s="1" t="s">
        <v>2060</v>
      </c>
      <c r="B508" s="1" t="s">
        <v>876</v>
      </c>
      <c r="C508" s="1"/>
      <c r="D508" s="1" t="s">
        <v>1357</v>
      </c>
      <c r="E508" s="1" t="s">
        <v>42</v>
      </c>
      <c r="F508" s="1" t="s">
        <v>32</v>
      </c>
      <c r="G508" s="1" t="s">
        <v>2716</v>
      </c>
      <c r="H508" s="18"/>
    </row>
    <row r="509" spans="1:8">
      <c r="A509" s="1" t="s">
        <v>2061</v>
      </c>
      <c r="B509" s="1" t="s">
        <v>876</v>
      </c>
      <c r="C509" s="1"/>
      <c r="D509" s="1" t="s">
        <v>1098</v>
      </c>
      <c r="E509" s="1" t="s">
        <v>66</v>
      </c>
      <c r="F509" s="1" t="s">
        <v>32</v>
      </c>
      <c r="G509" s="1" t="s">
        <v>2719</v>
      </c>
      <c r="H509" s="18"/>
    </row>
    <row r="510" spans="1:8">
      <c r="A510" s="1" t="s">
        <v>2062</v>
      </c>
      <c r="B510" s="1" t="s">
        <v>876</v>
      </c>
      <c r="C510" s="1"/>
      <c r="D510" s="1" t="s">
        <v>925</v>
      </c>
      <c r="E510" s="1" t="s">
        <v>890</v>
      </c>
      <c r="F510" s="1" t="s">
        <v>32</v>
      </c>
      <c r="G510" s="1" t="s">
        <v>2722</v>
      </c>
      <c r="H510" s="18"/>
    </row>
    <row r="511" spans="1:8">
      <c r="A511" s="1" t="s">
        <v>2063</v>
      </c>
      <c r="B511" s="1" t="s">
        <v>876</v>
      </c>
      <c r="C511" s="1"/>
      <c r="D511" s="1" t="s">
        <v>1066</v>
      </c>
      <c r="E511" s="1" t="s">
        <v>66</v>
      </c>
      <c r="F511" s="1" t="s">
        <v>32</v>
      </c>
      <c r="G511" s="1" t="s">
        <v>2719</v>
      </c>
      <c r="H511" s="18"/>
    </row>
    <row r="512" spans="1:8">
      <c r="A512" s="1" t="s">
        <v>2064</v>
      </c>
      <c r="B512" s="1" t="s">
        <v>876</v>
      </c>
      <c r="C512" s="1"/>
      <c r="D512" s="1" t="s">
        <v>1362</v>
      </c>
      <c r="E512" s="1" t="s">
        <v>890</v>
      </c>
      <c r="F512" s="1" t="s">
        <v>32</v>
      </c>
      <c r="G512" s="1" t="s">
        <v>2722</v>
      </c>
      <c r="H512" s="18"/>
    </row>
    <row r="513" spans="1:26">
      <c r="A513" s="1" t="s">
        <v>2065</v>
      </c>
      <c r="B513" s="1" t="s">
        <v>876</v>
      </c>
      <c r="C513" s="1"/>
      <c r="D513" s="1" t="s">
        <v>1364</v>
      </c>
      <c r="E513" s="1" t="s">
        <v>890</v>
      </c>
      <c r="F513" s="1" t="s">
        <v>32</v>
      </c>
      <c r="G513" s="1" t="s">
        <v>2722</v>
      </c>
      <c r="H513" s="18"/>
    </row>
    <row r="514" spans="1:26">
      <c r="A514" s="1" t="s">
        <v>2066</v>
      </c>
      <c r="B514" s="1" t="s">
        <v>876</v>
      </c>
      <c r="C514" s="1"/>
      <c r="D514" s="1" t="s">
        <v>1366</v>
      </c>
      <c r="E514" s="1" t="s">
        <v>890</v>
      </c>
      <c r="F514" s="1" t="s">
        <v>32</v>
      </c>
      <c r="G514" s="1" t="s">
        <v>2722</v>
      </c>
      <c r="H514" s="18"/>
    </row>
    <row r="515" spans="1:26">
      <c r="A515" s="1" t="s">
        <v>2067</v>
      </c>
      <c r="B515" s="1" t="s">
        <v>876</v>
      </c>
      <c r="C515" s="1"/>
      <c r="D515" s="1" t="s">
        <v>1368</v>
      </c>
      <c r="E515" s="1" t="s">
        <v>930</v>
      </c>
      <c r="F515" s="1" t="s">
        <v>32</v>
      </c>
      <c r="G515" s="1" t="s">
        <v>2723</v>
      </c>
      <c r="H515" s="18"/>
    </row>
    <row r="516" spans="1:26">
      <c r="A516" s="1" t="s">
        <v>2068</v>
      </c>
      <c r="B516" s="1" t="s">
        <v>876</v>
      </c>
      <c r="C516" s="1"/>
      <c r="D516" s="1" t="s">
        <v>1370</v>
      </c>
      <c r="E516" s="1" t="s">
        <v>66</v>
      </c>
      <c r="F516" s="1" t="s">
        <v>32</v>
      </c>
      <c r="G516" s="1" t="s">
        <v>2719</v>
      </c>
      <c r="H516" s="18"/>
    </row>
    <row r="517" spans="1:26">
      <c r="A517" s="1" t="s">
        <v>2069</v>
      </c>
      <c r="B517" s="1" t="s">
        <v>876</v>
      </c>
      <c r="C517" s="1"/>
      <c r="D517" s="1" t="s">
        <v>51</v>
      </c>
      <c r="E517" s="1" t="s">
        <v>42</v>
      </c>
      <c r="F517" s="1" t="s">
        <v>32</v>
      </c>
      <c r="G517" s="1" t="s">
        <v>2716</v>
      </c>
      <c r="H517" s="18"/>
    </row>
    <row r="518" spans="1:26">
      <c r="A518" s="1" t="s">
        <v>2070</v>
      </c>
      <c r="B518" s="1" t="s">
        <v>876</v>
      </c>
      <c r="C518" s="1"/>
      <c r="D518" s="1" t="s">
        <v>1373</v>
      </c>
      <c r="E518" s="1" t="s">
        <v>66</v>
      </c>
      <c r="F518" s="1" t="s">
        <v>32</v>
      </c>
      <c r="G518" s="1" t="s">
        <v>2719</v>
      </c>
      <c r="H518" s="18"/>
    </row>
    <row r="519" spans="1:26">
      <c r="A519" s="1" t="s">
        <v>2071</v>
      </c>
      <c r="B519" s="1" t="s">
        <v>876</v>
      </c>
      <c r="C519" s="1"/>
      <c r="D519" s="1" t="s">
        <v>884</v>
      </c>
      <c r="E519" s="1" t="s">
        <v>66</v>
      </c>
      <c r="F519" s="1" t="s">
        <v>32</v>
      </c>
      <c r="G519" s="1" t="s">
        <v>2719</v>
      </c>
      <c r="H519" s="18"/>
    </row>
    <row r="520" spans="1:26">
      <c r="A520" s="1" t="s">
        <v>2072</v>
      </c>
      <c r="B520" s="1" t="s">
        <v>876</v>
      </c>
      <c r="C520" s="1"/>
      <c r="D520" s="1" t="s">
        <v>1376</v>
      </c>
      <c r="E520" s="1" t="s">
        <v>66</v>
      </c>
      <c r="F520" s="1" t="s">
        <v>32</v>
      </c>
      <c r="G520" s="1" t="s">
        <v>2719</v>
      </c>
      <c r="H520" s="18"/>
    </row>
    <row r="521" spans="1:26">
      <c r="A521" s="1" t="s">
        <v>2073</v>
      </c>
      <c r="B521" s="1" t="s">
        <v>876</v>
      </c>
      <c r="C521" s="1"/>
      <c r="D521" s="1" t="s">
        <v>1378</v>
      </c>
      <c r="E521" s="1" t="s">
        <v>66</v>
      </c>
      <c r="F521" s="1" t="s">
        <v>32</v>
      </c>
      <c r="G521" s="1" t="s">
        <v>2719</v>
      </c>
      <c r="H521" s="18"/>
    </row>
    <row r="522" spans="1:26">
      <c r="A522" s="1" t="s">
        <v>2074</v>
      </c>
      <c r="B522" s="1" t="s">
        <v>876</v>
      </c>
      <c r="C522" s="1"/>
      <c r="D522" s="1" t="s">
        <v>1380</v>
      </c>
      <c r="E522" s="1" t="s">
        <v>66</v>
      </c>
      <c r="F522" s="1" t="s">
        <v>32</v>
      </c>
      <c r="G522" s="1" t="s">
        <v>2719</v>
      </c>
      <c r="H522" s="18"/>
    </row>
    <row r="523" spans="1:26">
      <c r="A523" s="1" t="s">
        <v>2075</v>
      </c>
      <c r="B523" s="1" t="s">
        <v>876</v>
      </c>
      <c r="C523" s="1"/>
      <c r="D523" s="1" t="s">
        <v>1382</v>
      </c>
      <c r="E523" s="1" t="s">
        <v>31</v>
      </c>
      <c r="F523" s="1" t="s">
        <v>32</v>
      </c>
      <c r="G523" s="1" t="s">
        <v>2721</v>
      </c>
      <c r="H523" s="18"/>
    </row>
    <row r="524" spans="1:26" s="2" customFormat="1">
      <c r="A524" s="1" t="s">
        <v>2076</v>
      </c>
      <c r="B524" s="1" t="s">
        <v>876</v>
      </c>
      <c r="C524" s="1"/>
      <c r="D524" s="1" t="s">
        <v>1353</v>
      </c>
      <c r="E524" s="1" t="s">
        <v>31</v>
      </c>
      <c r="F524" s="1" t="s">
        <v>32</v>
      </c>
      <c r="G524" s="1" t="s">
        <v>2721</v>
      </c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>
      <c r="A525" s="1" t="s">
        <v>2077</v>
      </c>
      <c r="B525" s="1" t="s">
        <v>876</v>
      </c>
      <c r="C525" s="1"/>
      <c r="D525" s="1" t="s">
        <v>1385</v>
      </c>
      <c r="E525" s="1" t="s">
        <v>42</v>
      </c>
      <c r="F525" s="1" t="s">
        <v>32</v>
      </c>
      <c r="G525" s="1" t="s">
        <v>2716</v>
      </c>
      <c r="H525" s="18"/>
    </row>
    <row r="526" spans="1:26">
      <c r="A526" s="1" t="s">
        <v>2078</v>
      </c>
      <c r="B526" s="1" t="s">
        <v>876</v>
      </c>
      <c r="C526" s="1"/>
      <c r="D526" s="1" t="s">
        <v>1387</v>
      </c>
      <c r="E526" s="1" t="s">
        <v>890</v>
      </c>
      <c r="F526" s="1" t="s">
        <v>32</v>
      </c>
      <c r="G526" s="1" t="s">
        <v>2722</v>
      </c>
      <c r="H526" s="18"/>
    </row>
    <row r="527" spans="1:26">
      <c r="A527" s="1" t="s">
        <v>2079</v>
      </c>
      <c r="B527" s="1" t="s">
        <v>876</v>
      </c>
      <c r="C527" s="1"/>
      <c r="D527" s="1" t="s">
        <v>1389</v>
      </c>
      <c r="E527" s="1" t="s">
        <v>42</v>
      </c>
      <c r="F527" s="1" t="s">
        <v>32</v>
      </c>
      <c r="G527" s="1" t="s">
        <v>2716</v>
      </c>
      <c r="H527" s="18"/>
    </row>
    <row r="528" spans="1:26">
      <c r="A528" s="1" t="s">
        <v>2080</v>
      </c>
      <c r="B528" s="1" t="s">
        <v>876</v>
      </c>
      <c r="C528" s="1"/>
      <c r="D528" s="1" t="s">
        <v>1391</v>
      </c>
      <c r="E528" s="1" t="s">
        <v>66</v>
      </c>
      <c r="F528" s="1" t="s">
        <v>32</v>
      </c>
      <c r="G528" s="1" t="s">
        <v>2719</v>
      </c>
      <c r="H528" s="18"/>
    </row>
    <row r="529" spans="1:8">
      <c r="A529" s="1" t="s">
        <v>2081</v>
      </c>
      <c r="B529" s="1" t="s">
        <v>876</v>
      </c>
      <c r="C529" s="1"/>
      <c r="D529" s="1" t="s">
        <v>1393</v>
      </c>
      <c r="E529" s="1" t="s">
        <v>66</v>
      </c>
      <c r="F529" s="1" t="s">
        <v>32</v>
      </c>
      <c r="G529" s="1" t="s">
        <v>2719</v>
      </c>
      <c r="H529" s="18"/>
    </row>
    <row r="530" spans="1:8">
      <c r="A530" s="1" t="s">
        <v>2082</v>
      </c>
      <c r="B530" s="1" t="s">
        <v>876</v>
      </c>
      <c r="C530" s="1"/>
      <c r="D530" s="1" t="s">
        <v>1395</v>
      </c>
      <c r="E530" s="1" t="s">
        <v>880</v>
      </c>
      <c r="F530" s="1" t="s">
        <v>32</v>
      </c>
      <c r="G530" s="1" t="s">
        <v>2720</v>
      </c>
      <c r="H530" s="18"/>
    </row>
    <row r="531" spans="1:8">
      <c r="A531" s="1" t="s">
        <v>2083</v>
      </c>
      <c r="B531" s="1" t="s">
        <v>876</v>
      </c>
      <c r="C531" s="1"/>
      <c r="D531" s="1" t="s">
        <v>1397</v>
      </c>
      <c r="E531" s="1" t="s">
        <v>31</v>
      </c>
      <c r="F531" s="1" t="s">
        <v>32</v>
      </c>
      <c r="G531" s="1" t="s">
        <v>2721</v>
      </c>
      <c r="H531" s="18"/>
    </row>
    <row r="532" spans="1:8">
      <c r="A532" s="1" t="s">
        <v>2084</v>
      </c>
      <c r="B532" s="1" t="s">
        <v>876</v>
      </c>
      <c r="C532" s="1"/>
      <c r="D532" s="1" t="s">
        <v>1028</v>
      </c>
      <c r="E532" s="1" t="s">
        <v>66</v>
      </c>
      <c r="F532" s="1" t="s">
        <v>32</v>
      </c>
      <c r="G532" s="1" t="s">
        <v>2719</v>
      </c>
      <c r="H532" s="18"/>
    </row>
    <row r="533" spans="1:8">
      <c r="A533" s="1" t="s">
        <v>2085</v>
      </c>
      <c r="B533" s="1" t="s">
        <v>876</v>
      </c>
      <c r="C533" s="1"/>
      <c r="D533" s="1" t="s">
        <v>1400</v>
      </c>
      <c r="E533" s="1" t="s">
        <v>930</v>
      </c>
      <c r="F533" s="1" t="s">
        <v>32</v>
      </c>
      <c r="G533" s="1" t="s">
        <v>2723</v>
      </c>
      <c r="H533" s="18"/>
    </row>
    <row r="534" spans="1:8">
      <c r="A534" s="1" t="s">
        <v>2086</v>
      </c>
      <c r="B534" s="1" t="s">
        <v>876</v>
      </c>
      <c r="C534" s="1"/>
      <c r="D534" s="1" t="s">
        <v>1376</v>
      </c>
      <c r="E534" s="1" t="s">
        <v>890</v>
      </c>
      <c r="F534" s="1" t="s">
        <v>32</v>
      </c>
      <c r="G534" s="1" t="s">
        <v>2722</v>
      </c>
      <c r="H534" s="18"/>
    </row>
    <row r="535" spans="1:8">
      <c r="A535" s="1" t="s">
        <v>2087</v>
      </c>
      <c r="B535" s="1" t="s">
        <v>876</v>
      </c>
      <c r="C535" s="1"/>
      <c r="D535" s="1" t="s">
        <v>1403</v>
      </c>
      <c r="E535" s="1" t="s">
        <v>1015</v>
      </c>
      <c r="F535" s="1" t="s">
        <v>32</v>
      </c>
      <c r="G535" s="1" t="s">
        <v>2726</v>
      </c>
      <c r="H535" s="18"/>
    </row>
    <row r="536" spans="1:8">
      <c r="A536" s="1" t="s">
        <v>2088</v>
      </c>
      <c r="B536" s="1" t="s">
        <v>876</v>
      </c>
      <c r="C536" s="1"/>
      <c r="D536" s="1" t="s">
        <v>1053</v>
      </c>
      <c r="E536" s="1" t="s">
        <v>66</v>
      </c>
      <c r="F536" s="1" t="s">
        <v>32</v>
      </c>
      <c r="G536" s="1" t="s">
        <v>2719</v>
      </c>
      <c r="H536" s="18"/>
    </row>
    <row r="537" spans="1:8">
      <c r="A537" s="1" t="s">
        <v>2089</v>
      </c>
      <c r="B537" s="1" t="s">
        <v>876</v>
      </c>
      <c r="C537" s="1"/>
      <c r="D537" s="1" t="s">
        <v>1406</v>
      </c>
      <c r="E537" s="1" t="s">
        <v>66</v>
      </c>
      <c r="F537" s="1" t="s">
        <v>32</v>
      </c>
      <c r="G537" s="1" t="s">
        <v>2719</v>
      </c>
      <c r="H537" s="18"/>
    </row>
    <row r="538" spans="1:8">
      <c r="A538" s="1" t="s">
        <v>2090</v>
      </c>
      <c r="B538" s="1" t="s">
        <v>876</v>
      </c>
      <c r="C538" s="1"/>
      <c r="D538" s="1" t="s">
        <v>1334</v>
      </c>
      <c r="E538" s="1" t="s">
        <v>880</v>
      </c>
      <c r="F538" s="1" t="s">
        <v>32</v>
      </c>
      <c r="G538" s="1" t="s">
        <v>2720</v>
      </c>
      <c r="H538" s="18"/>
    </row>
    <row r="539" spans="1:8">
      <c r="A539" s="1" t="s">
        <v>2091</v>
      </c>
      <c r="B539" s="1" t="s">
        <v>876</v>
      </c>
      <c r="C539" s="1"/>
      <c r="D539" s="1" t="s">
        <v>1409</v>
      </c>
      <c r="E539" s="1" t="s">
        <v>890</v>
      </c>
      <c r="F539" s="1" t="s">
        <v>32</v>
      </c>
      <c r="G539" s="1" t="s">
        <v>2722</v>
      </c>
      <c r="H539" s="18"/>
    </row>
    <row r="540" spans="1:8">
      <c r="A540" s="1" t="s">
        <v>2092</v>
      </c>
      <c r="B540" s="1" t="s">
        <v>876</v>
      </c>
      <c r="C540" s="1"/>
      <c r="D540" s="1" t="s">
        <v>1411</v>
      </c>
      <c r="E540" s="1" t="s">
        <v>940</v>
      </c>
      <c r="F540" s="1" t="s">
        <v>32</v>
      </c>
      <c r="G540" s="1" t="s">
        <v>2724</v>
      </c>
      <c r="H540" s="18"/>
    </row>
    <row r="541" spans="1:8">
      <c r="A541" s="1" t="s">
        <v>2093</v>
      </c>
      <c r="B541" s="1" t="s">
        <v>876</v>
      </c>
      <c r="C541" s="1"/>
      <c r="D541" s="1" t="s">
        <v>1303</v>
      </c>
      <c r="E541" s="1" t="s">
        <v>880</v>
      </c>
      <c r="F541" s="1" t="s">
        <v>32</v>
      </c>
      <c r="G541" s="1" t="s">
        <v>2720</v>
      </c>
      <c r="H541" s="18"/>
    </row>
    <row r="542" spans="1:8">
      <c r="A542" s="1" t="s">
        <v>2094</v>
      </c>
      <c r="B542" s="1" t="s">
        <v>876</v>
      </c>
      <c r="C542" s="1"/>
      <c r="D542" s="1" t="s">
        <v>1336</v>
      </c>
      <c r="E542" s="1" t="s">
        <v>66</v>
      </c>
      <c r="F542" s="1" t="s">
        <v>32</v>
      </c>
      <c r="G542" s="1" t="s">
        <v>2719</v>
      </c>
      <c r="H542" s="18"/>
    </row>
    <row r="543" spans="1:8">
      <c r="A543" s="1" t="s">
        <v>2095</v>
      </c>
      <c r="B543" s="1" t="s">
        <v>876</v>
      </c>
      <c r="C543" s="1"/>
      <c r="D543" s="1" t="s">
        <v>1415</v>
      </c>
      <c r="E543" s="1" t="s">
        <v>42</v>
      </c>
      <c r="F543" s="1" t="s">
        <v>32</v>
      </c>
      <c r="G543" s="1" t="s">
        <v>2716</v>
      </c>
      <c r="H543" s="18"/>
    </row>
    <row r="544" spans="1:8">
      <c r="A544" s="1" t="s">
        <v>2096</v>
      </c>
      <c r="B544" s="1" t="s">
        <v>876</v>
      </c>
      <c r="C544" s="1"/>
      <c r="D544" s="1" t="s">
        <v>1124</v>
      </c>
      <c r="E544" s="1" t="s">
        <v>66</v>
      </c>
      <c r="F544" s="1" t="s">
        <v>32</v>
      </c>
      <c r="G544" s="1" t="s">
        <v>2719</v>
      </c>
      <c r="H544" s="18"/>
    </row>
    <row r="545" spans="1:8">
      <c r="A545" s="1" t="s">
        <v>2097</v>
      </c>
      <c r="B545" s="1" t="s">
        <v>876</v>
      </c>
      <c r="C545" s="1"/>
      <c r="D545" s="1" t="s">
        <v>1072</v>
      </c>
      <c r="E545" s="1" t="s">
        <v>66</v>
      </c>
      <c r="F545" s="1" t="s">
        <v>32</v>
      </c>
      <c r="G545" s="1" t="s">
        <v>2719</v>
      </c>
      <c r="H545" s="18"/>
    </row>
    <row r="546" spans="1:8">
      <c r="A546" s="1" t="s">
        <v>2098</v>
      </c>
      <c r="B546" s="1" t="s">
        <v>876</v>
      </c>
      <c r="C546" s="1"/>
      <c r="D546" s="1" t="s">
        <v>1419</v>
      </c>
      <c r="E546" s="1" t="s">
        <v>940</v>
      </c>
      <c r="F546" s="1" t="s">
        <v>32</v>
      </c>
      <c r="G546" s="1" t="s">
        <v>2724</v>
      </c>
      <c r="H546" s="18"/>
    </row>
    <row r="547" spans="1:8">
      <c r="A547" s="1" t="s">
        <v>2099</v>
      </c>
      <c r="B547" s="1" t="s">
        <v>876</v>
      </c>
      <c r="C547" s="1"/>
      <c r="D547" s="1" t="s">
        <v>1308</v>
      </c>
      <c r="E547" s="1" t="s">
        <v>66</v>
      </c>
      <c r="F547" s="1" t="s">
        <v>32</v>
      </c>
      <c r="G547" s="1" t="s">
        <v>2719</v>
      </c>
      <c r="H547" s="18"/>
    </row>
    <row r="548" spans="1:8">
      <c r="A548" s="1" t="s">
        <v>2100</v>
      </c>
      <c r="B548" s="1" t="s">
        <v>876</v>
      </c>
      <c r="C548" s="1"/>
      <c r="D548" s="1" t="s">
        <v>1422</v>
      </c>
      <c r="E548" s="1" t="s">
        <v>66</v>
      </c>
      <c r="F548" s="1" t="s">
        <v>32</v>
      </c>
      <c r="G548" s="1" t="s">
        <v>2719</v>
      </c>
      <c r="H548" s="18"/>
    </row>
    <row r="549" spans="1:8">
      <c r="A549" s="1" t="s">
        <v>2101</v>
      </c>
      <c r="B549" s="1" t="s">
        <v>876</v>
      </c>
      <c r="C549" s="1"/>
      <c r="D549" s="1" t="s">
        <v>1424</v>
      </c>
      <c r="E549" s="1" t="s">
        <v>890</v>
      </c>
      <c r="F549" s="1" t="s">
        <v>32</v>
      </c>
      <c r="G549" s="1" t="s">
        <v>2722</v>
      </c>
      <c r="H549" s="18"/>
    </row>
    <row r="550" spans="1:8">
      <c r="A550" s="1" t="s">
        <v>2102</v>
      </c>
      <c r="B550" s="1" t="s">
        <v>876</v>
      </c>
      <c r="C550" s="1"/>
      <c r="D550" s="1" t="s">
        <v>1289</v>
      </c>
      <c r="E550" s="1" t="s">
        <v>880</v>
      </c>
      <c r="F550" s="1" t="s">
        <v>32</v>
      </c>
      <c r="G550" s="1" t="s">
        <v>2720</v>
      </c>
      <c r="H550" s="18"/>
    </row>
    <row r="551" spans="1:8">
      <c r="A551" s="1" t="s">
        <v>2103</v>
      </c>
      <c r="B551" s="1" t="s">
        <v>876</v>
      </c>
      <c r="C551" s="1"/>
      <c r="D551" s="1" t="s">
        <v>1002</v>
      </c>
      <c r="E551" s="1" t="s">
        <v>880</v>
      </c>
      <c r="F551" s="1" t="s">
        <v>32</v>
      </c>
      <c r="G551" s="1" t="s">
        <v>2720</v>
      </c>
      <c r="H551" s="18"/>
    </row>
    <row r="552" spans="1:8">
      <c r="A552" s="1" t="s">
        <v>2104</v>
      </c>
      <c r="B552" s="1" t="s">
        <v>876</v>
      </c>
      <c r="C552" s="1"/>
      <c r="D552" s="1" t="s">
        <v>998</v>
      </c>
      <c r="E552" s="1" t="s">
        <v>66</v>
      </c>
      <c r="F552" s="1" t="s">
        <v>32</v>
      </c>
      <c r="G552" s="1" t="s">
        <v>2719</v>
      </c>
      <c r="H552" s="18"/>
    </row>
    <row r="553" spans="1:8">
      <c r="A553" s="1" t="s">
        <v>2105</v>
      </c>
      <c r="B553" s="1" t="s">
        <v>876</v>
      </c>
      <c r="C553" s="1"/>
      <c r="D553" s="1" t="s">
        <v>1409</v>
      </c>
      <c r="E553" s="1" t="s">
        <v>66</v>
      </c>
      <c r="F553" s="1" t="s">
        <v>32</v>
      </c>
      <c r="G553" s="1" t="s">
        <v>2719</v>
      </c>
      <c r="H553" s="18"/>
    </row>
    <row r="554" spans="1:8">
      <c r="A554" s="1" t="s">
        <v>2106</v>
      </c>
      <c r="B554" s="1" t="s">
        <v>876</v>
      </c>
      <c r="C554" s="1"/>
      <c r="D554" s="1" t="s">
        <v>1430</v>
      </c>
      <c r="E554" s="1" t="s">
        <v>42</v>
      </c>
      <c r="F554" s="1" t="s">
        <v>32</v>
      </c>
      <c r="G554" s="1" t="s">
        <v>2716</v>
      </c>
      <c r="H554" s="18"/>
    </row>
    <row r="555" spans="1:8">
      <c r="A555" s="1" t="s">
        <v>2107</v>
      </c>
      <c r="B555" s="1" t="s">
        <v>876</v>
      </c>
      <c r="C555" s="1"/>
      <c r="D555" s="1" t="s">
        <v>1049</v>
      </c>
      <c r="E555" s="1" t="s">
        <v>880</v>
      </c>
      <c r="F555" s="1" t="s">
        <v>32</v>
      </c>
      <c r="G555" s="1" t="s">
        <v>2720</v>
      </c>
      <c r="H555" s="18"/>
    </row>
    <row r="556" spans="1:8">
      <c r="A556" s="1" t="s">
        <v>2108</v>
      </c>
      <c r="B556" s="1" t="s">
        <v>876</v>
      </c>
      <c r="C556" s="1"/>
      <c r="D556" s="1" t="s">
        <v>1320</v>
      </c>
      <c r="E556" s="1" t="s">
        <v>66</v>
      </c>
      <c r="F556" s="1" t="s">
        <v>32</v>
      </c>
      <c r="G556" s="1" t="s">
        <v>2719</v>
      </c>
      <c r="H556" s="18"/>
    </row>
    <row r="557" spans="1:8">
      <c r="A557" s="1" t="s">
        <v>2109</v>
      </c>
      <c r="B557" s="1" t="s">
        <v>876</v>
      </c>
      <c r="C557" s="1"/>
      <c r="D557" s="1" t="s">
        <v>1434</v>
      </c>
      <c r="E557" s="1" t="s">
        <v>890</v>
      </c>
      <c r="F557" s="1" t="s">
        <v>32</v>
      </c>
      <c r="G557" s="1" t="s">
        <v>2722</v>
      </c>
      <c r="H557" s="18"/>
    </row>
    <row r="558" spans="1:8">
      <c r="A558" s="1" t="s">
        <v>2110</v>
      </c>
      <c r="B558" s="1" t="s">
        <v>876</v>
      </c>
      <c r="C558" s="1"/>
      <c r="D558" s="1" t="s">
        <v>1436</v>
      </c>
      <c r="E558" s="1" t="s">
        <v>31</v>
      </c>
      <c r="F558" s="1" t="s">
        <v>32</v>
      </c>
      <c r="G558" s="1" t="s">
        <v>2721</v>
      </c>
      <c r="H558" s="18"/>
    </row>
    <row r="559" spans="1:8">
      <c r="A559" s="1" t="s">
        <v>2111</v>
      </c>
      <c r="B559" s="1" t="s">
        <v>876</v>
      </c>
      <c r="C559" s="1"/>
      <c r="D559" s="1" t="s">
        <v>1045</v>
      </c>
      <c r="E559" s="1" t="s">
        <v>66</v>
      </c>
      <c r="F559" s="1" t="s">
        <v>32</v>
      </c>
      <c r="G559" s="1" t="s">
        <v>2719</v>
      </c>
      <c r="H559" s="18"/>
    </row>
    <row r="560" spans="1:8">
      <c r="A560" s="1" t="s">
        <v>2112</v>
      </c>
      <c r="B560" s="1" t="s">
        <v>876</v>
      </c>
      <c r="C560" s="1"/>
      <c r="D560" s="1" t="s">
        <v>1439</v>
      </c>
      <c r="E560" s="1" t="s">
        <v>930</v>
      </c>
      <c r="F560" s="1" t="s">
        <v>32</v>
      </c>
      <c r="G560" s="1" t="s">
        <v>2723</v>
      </c>
      <c r="H560" s="18"/>
    </row>
    <row r="561" spans="1:8">
      <c r="A561" s="1" t="s">
        <v>2113</v>
      </c>
      <c r="B561" s="1" t="s">
        <v>876</v>
      </c>
      <c r="C561" s="1"/>
      <c r="D561" s="1" t="s">
        <v>1441</v>
      </c>
      <c r="E561" s="1" t="s">
        <v>1015</v>
      </c>
      <c r="F561" s="1" t="s">
        <v>32</v>
      </c>
      <c r="G561" s="1" t="s">
        <v>2726</v>
      </c>
      <c r="H561" s="18"/>
    </row>
    <row r="562" spans="1:8">
      <c r="A562" s="1" t="s">
        <v>2114</v>
      </c>
      <c r="B562" s="1" t="s">
        <v>876</v>
      </c>
      <c r="C562" s="1"/>
      <c r="D562" s="1" t="s">
        <v>1443</v>
      </c>
      <c r="E562" s="1" t="s">
        <v>940</v>
      </c>
      <c r="F562" s="1" t="s">
        <v>32</v>
      </c>
      <c r="G562" s="1" t="s">
        <v>2724</v>
      </c>
      <c r="H562" s="18"/>
    </row>
    <row r="563" spans="1:8">
      <c r="A563" s="1" t="s">
        <v>2115</v>
      </c>
      <c r="B563" s="1" t="s">
        <v>876</v>
      </c>
      <c r="C563" s="1"/>
      <c r="D563" s="1" t="s">
        <v>1445</v>
      </c>
      <c r="E563" s="1" t="s">
        <v>940</v>
      </c>
      <c r="F563" s="1" t="s">
        <v>32</v>
      </c>
      <c r="G563" s="1" t="s">
        <v>2724</v>
      </c>
      <c r="H563" s="18"/>
    </row>
    <row r="564" spans="1:8">
      <c r="A564" s="1" t="s">
        <v>2116</v>
      </c>
      <c r="B564" s="1" t="s">
        <v>876</v>
      </c>
      <c r="C564" s="1"/>
      <c r="D564" s="1" t="s">
        <v>964</v>
      </c>
      <c r="E564" s="1" t="s">
        <v>66</v>
      </c>
      <c r="F564" s="1" t="s">
        <v>32</v>
      </c>
      <c r="G564" s="1" t="s">
        <v>2719</v>
      </c>
      <c r="H564" s="18"/>
    </row>
    <row r="565" spans="1:8">
      <c r="A565" s="1" t="s">
        <v>2117</v>
      </c>
      <c r="B565" s="1" t="s">
        <v>876</v>
      </c>
      <c r="C565" s="1"/>
      <c r="D565" s="1" t="s">
        <v>1450</v>
      </c>
      <c r="E565" s="1" t="s">
        <v>66</v>
      </c>
      <c r="F565" s="1" t="s">
        <v>32</v>
      </c>
      <c r="G565" s="1" t="s">
        <v>2719</v>
      </c>
      <c r="H565" s="18"/>
    </row>
    <row r="566" spans="1:8">
      <c r="A566" s="1" t="s">
        <v>2118</v>
      </c>
      <c r="B566" s="1" t="s">
        <v>876</v>
      </c>
      <c r="C566" s="1"/>
      <c r="D566" s="1" t="s">
        <v>1452</v>
      </c>
      <c r="E566" s="1" t="s">
        <v>940</v>
      </c>
      <c r="F566" s="1" t="s">
        <v>32</v>
      </c>
      <c r="G566" s="1" t="s">
        <v>2724</v>
      </c>
      <c r="H566" s="18"/>
    </row>
    <row r="567" spans="1:8">
      <c r="A567" s="1" t="s">
        <v>2119</v>
      </c>
      <c r="B567" s="1" t="s">
        <v>876</v>
      </c>
      <c r="C567" s="1"/>
      <c r="D567" s="1" t="s">
        <v>1454</v>
      </c>
      <c r="E567" s="1" t="s">
        <v>890</v>
      </c>
      <c r="F567" s="1" t="s">
        <v>32</v>
      </c>
      <c r="G567" s="1" t="s">
        <v>2722</v>
      </c>
      <c r="H567" s="18"/>
    </row>
    <row r="568" spans="1:8">
      <c r="A568" s="1" t="s">
        <v>2120</v>
      </c>
      <c r="B568" s="1" t="s">
        <v>876</v>
      </c>
      <c r="C568" s="1"/>
      <c r="D568" s="1" t="s">
        <v>1456</v>
      </c>
      <c r="E568" s="1" t="s">
        <v>31</v>
      </c>
      <c r="F568" s="1" t="s">
        <v>32</v>
      </c>
      <c r="G568" s="1" t="s">
        <v>2721</v>
      </c>
      <c r="H568" s="18"/>
    </row>
    <row r="569" spans="1:8">
      <c r="A569" s="1" t="s">
        <v>2121</v>
      </c>
      <c r="B569" s="1" t="s">
        <v>876</v>
      </c>
      <c r="C569" s="1"/>
      <c r="D569" s="1" t="s">
        <v>1458</v>
      </c>
      <c r="E569" s="1" t="s">
        <v>66</v>
      </c>
      <c r="F569" s="1" t="s">
        <v>32</v>
      </c>
      <c r="G569" s="1" t="s">
        <v>2719</v>
      </c>
      <c r="H569" s="18"/>
    </row>
    <row r="570" spans="1:8">
      <c r="A570" s="1" t="s">
        <v>2122</v>
      </c>
      <c r="B570" s="1" t="s">
        <v>876</v>
      </c>
      <c r="C570" s="1"/>
      <c r="D570" s="1" t="s">
        <v>1460</v>
      </c>
      <c r="E570" s="1" t="s">
        <v>66</v>
      </c>
      <c r="F570" s="1" t="s">
        <v>32</v>
      </c>
      <c r="G570" s="1" t="s">
        <v>2719</v>
      </c>
      <c r="H570" s="18"/>
    </row>
    <row r="571" spans="1:8">
      <c r="A571" s="1" t="s">
        <v>2123</v>
      </c>
      <c r="B571" s="1" t="s">
        <v>876</v>
      </c>
      <c r="C571" s="1"/>
      <c r="D571" s="1" t="s">
        <v>1462</v>
      </c>
      <c r="E571" s="1" t="s">
        <v>890</v>
      </c>
      <c r="F571" s="1" t="s">
        <v>32</v>
      </c>
      <c r="G571" s="1" t="s">
        <v>2722</v>
      </c>
      <c r="H571" s="18"/>
    </row>
    <row r="572" spans="1:8">
      <c r="A572" s="1" t="s">
        <v>2124</v>
      </c>
      <c r="B572" s="1" t="s">
        <v>876</v>
      </c>
      <c r="C572" s="1"/>
      <c r="D572" s="1" t="s">
        <v>952</v>
      </c>
      <c r="E572" s="1" t="s">
        <v>880</v>
      </c>
      <c r="F572" s="1" t="s">
        <v>32</v>
      </c>
      <c r="G572" s="1" t="s">
        <v>2720</v>
      </c>
      <c r="H572" s="18"/>
    </row>
    <row r="573" spans="1:8">
      <c r="A573" s="1" t="s">
        <v>2125</v>
      </c>
      <c r="B573" s="1" t="s">
        <v>876</v>
      </c>
      <c r="C573" s="1"/>
      <c r="D573" s="1" t="s">
        <v>1202</v>
      </c>
      <c r="E573" s="1" t="s">
        <v>31</v>
      </c>
      <c r="F573" s="1" t="s">
        <v>32</v>
      </c>
      <c r="G573" s="1" t="s">
        <v>2721</v>
      </c>
      <c r="H573" s="18"/>
    </row>
    <row r="574" spans="1:8">
      <c r="A574" s="1" t="s">
        <v>2126</v>
      </c>
      <c r="B574" s="1" t="s">
        <v>876</v>
      </c>
      <c r="C574" s="1"/>
      <c r="D574" s="1" t="s">
        <v>1454</v>
      </c>
      <c r="E574" s="1" t="s">
        <v>66</v>
      </c>
      <c r="F574" s="1" t="s">
        <v>32</v>
      </c>
      <c r="G574" s="1" t="s">
        <v>2719</v>
      </c>
      <c r="H574" s="18"/>
    </row>
    <row r="575" spans="1:8">
      <c r="A575" s="1" t="s">
        <v>2127</v>
      </c>
      <c r="B575" s="1" t="s">
        <v>876</v>
      </c>
      <c r="C575" s="1"/>
      <c r="D575" s="1" t="s">
        <v>1326</v>
      </c>
      <c r="E575" s="1" t="s">
        <v>890</v>
      </c>
      <c r="F575" s="1" t="s">
        <v>32</v>
      </c>
      <c r="G575" s="1" t="s">
        <v>2722</v>
      </c>
      <c r="H575" s="18"/>
    </row>
    <row r="576" spans="1:8">
      <c r="A576" s="1" t="s">
        <v>2128</v>
      </c>
      <c r="B576" s="1" t="s">
        <v>876</v>
      </c>
      <c r="C576" s="1"/>
      <c r="D576" s="1" t="s">
        <v>991</v>
      </c>
      <c r="E576" s="1" t="s">
        <v>880</v>
      </c>
      <c r="F576" s="1" t="s">
        <v>32</v>
      </c>
      <c r="G576" s="1" t="s">
        <v>2720</v>
      </c>
      <c r="H576" s="18"/>
    </row>
    <row r="577" spans="1:8">
      <c r="A577" s="1" t="s">
        <v>2129</v>
      </c>
      <c r="B577" s="1" t="s">
        <v>876</v>
      </c>
      <c r="C577" s="1"/>
      <c r="D577" s="1" t="s">
        <v>1297</v>
      </c>
      <c r="E577" s="1" t="s">
        <v>890</v>
      </c>
      <c r="F577" s="1" t="s">
        <v>32</v>
      </c>
      <c r="G577" s="1" t="s">
        <v>2722</v>
      </c>
      <c r="H577" s="18"/>
    </row>
    <row r="578" spans="1:8">
      <c r="A578" s="1" t="s">
        <v>2130</v>
      </c>
      <c r="B578" s="1" t="s">
        <v>876</v>
      </c>
      <c r="C578" s="1"/>
      <c r="D578" s="1" t="s">
        <v>1387</v>
      </c>
      <c r="E578" s="1" t="s">
        <v>66</v>
      </c>
      <c r="F578" s="1" t="s">
        <v>32</v>
      </c>
      <c r="G578" s="1" t="s">
        <v>2719</v>
      </c>
      <c r="H578" s="18"/>
    </row>
    <row r="579" spans="1:8">
      <c r="A579" s="1" t="s">
        <v>2131</v>
      </c>
      <c r="B579" s="1" t="s">
        <v>876</v>
      </c>
      <c r="C579" s="1"/>
      <c r="D579" s="1" t="s">
        <v>1471</v>
      </c>
      <c r="E579" s="1" t="s">
        <v>890</v>
      </c>
      <c r="F579" s="1" t="s">
        <v>32</v>
      </c>
      <c r="G579" s="1" t="s">
        <v>2722</v>
      </c>
      <c r="H579" s="18"/>
    </row>
    <row r="580" spans="1:8">
      <c r="A580" s="1" t="s">
        <v>2132</v>
      </c>
      <c r="B580" s="1" t="s">
        <v>876</v>
      </c>
      <c r="C580" s="1"/>
      <c r="D580" s="1" t="s">
        <v>922</v>
      </c>
      <c r="E580" s="1" t="s">
        <v>66</v>
      </c>
      <c r="F580" s="1" t="s">
        <v>32</v>
      </c>
      <c r="G580" s="1" t="s">
        <v>2719</v>
      </c>
      <c r="H580" s="18"/>
    </row>
    <row r="581" spans="1:8">
      <c r="A581" s="1" t="s">
        <v>2133</v>
      </c>
      <c r="B581" s="1" t="s">
        <v>876</v>
      </c>
      <c r="C581" s="1"/>
      <c r="D581" s="1" t="s">
        <v>1474</v>
      </c>
      <c r="E581" s="1" t="s">
        <v>42</v>
      </c>
      <c r="F581" s="1" t="s">
        <v>32</v>
      </c>
      <c r="G581" s="1" t="s">
        <v>2716</v>
      </c>
      <c r="H581" s="18"/>
    </row>
    <row r="582" spans="1:8">
      <c r="A582" s="1" t="s">
        <v>2134</v>
      </c>
      <c r="B582" s="1" t="s">
        <v>876</v>
      </c>
      <c r="C582" s="1"/>
      <c r="D582" s="1" t="s">
        <v>1476</v>
      </c>
      <c r="E582" s="1" t="s">
        <v>940</v>
      </c>
      <c r="F582" s="1" t="s">
        <v>32</v>
      </c>
      <c r="G582" s="1" t="s">
        <v>2724</v>
      </c>
      <c r="H582" s="18"/>
    </row>
    <row r="583" spans="1:8">
      <c r="A583" s="1" t="s">
        <v>2135</v>
      </c>
      <c r="B583" s="1" t="s">
        <v>876</v>
      </c>
      <c r="C583" s="1"/>
      <c r="D583" s="1" t="s">
        <v>1478</v>
      </c>
      <c r="E583" s="1" t="s">
        <v>930</v>
      </c>
      <c r="F583" s="1" t="s">
        <v>32</v>
      </c>
      <c r="G583" s="1" t="s">
        <v>2723</v>
      </c>
      <c r="H583" s="18"/>
    </row>
    <row r="584" spans="1:8">
      <c r="A584" s="1" t="s">
        <v>2136</v>
      </c>
      <c r="B584" s="1" t="s">
        <v>876</v>
      </c>
      <c r="C584" s="1"/>
      <c r="D584" s="1" t="s">
        <v>937</v>
      </c>
      <c r="E584" s="1" t="s">
        <v>880</v>
      </c>
      <c r="F584" s="1" t="s">
        <v>32</v>
      </c>
      <c r="G584" s="1" t="s">
        <v>2720</v>
      </c>
      <c r="H584" s="18"/>
    </row>
    <row r="585" spans="1:8">
      <c r="A585" s="1" t="s">
        <v>2137</v>
      </c>
      <c r="B585" s="1" t="s">
        <v>876</v>
      </c>
      <c r="C585" s="1"/>
      <c r="D585" s="1" t="s">
        <v>968</v>
      </c>
      <c r="E585" s="1" t="s">
        <v>880</v>
      </c>
      <c r="F585" s="1" t="s">
        <v>32</v>
      </c>
      <c r="G585" s="1" t="s">
        <v>2720</v>
      </c>
      <c r="H585" s="18"/>
    </row>
    <row r="586" spans="1:8">
      <c r="A586" s="1" t="s">
        <v>2138</v>
      </c>
      <c r="B586" s="1" t="s">
        <v>876</v>
      </c>
      <c r="C586" s="1"/>
      <c r="D586" s="1" t="s">
        <v>970</v>
      </c>
      <c r="E586" s="1" t="s">
        <v>66</v>
      </c>
      <c r="F586" s="1" t="s">
        <v>32</v>
      </c>
      <c r="G586" s="1" t="s">
        <v>2719</v>
      </c>
      <c r="H586" s="18"/>
    </row>
    <row r="587" spans="1:8">
      <c r="A587" s="1" t="s">
        <v>2139</v>
      </c>
      <c r="B587" s="1" t="s">
        <v>876</v>
      </c>
      <c r="C587" s="1"/>
      <c r="D587" s="1" t="s">
        <v>1483</v>
      </c>
      <c r="E587" s="1" t="s">
        <v>66</v>
      </c>
      <c r="F587" s="1" t="s">
        <v>32</v>
      </c>
      <c r="G587" s="1" t="s">
        <v>2719</v>
      </c>
      <c r="H587" s="18"/>
    </row>
    <row r="588" spans="1:8">
      <c r="A588" s="1" t="s">
        <v>2140</v>
      </c>
      <c r="B588" s="1" t="s">
        <v>876</v>
      </c>
      <c r="C588" s="1"/>
      <c r="D588" s="1" t="s">
        <v>1485</v>
      </c>
      <c r="E588" s="1" t="s">
        <v>890</v>
      </c>
      <c r="F588" s="1" t="s">
        <v>32</v>
      </c>
      <c r="G588" s="1" t="s">
        <v>2722</v>
      </c>
      <c r="H588" s="18"/>
    </row>
    <row r="589" spans="1:8">
      <c r="A589" s="1" t="s">
        <v>2141</v>
      </c>
      <c r="B589" s="1" t="s">
        <v>876</v>
      </c>
      <c r="C589" s="1"/>
      <c r="D589" s="1" t="s">
        <v>1487</v>
      </c>
      <c r="E589" s="1" t="s">
        <v>890</v>
      </c>
      <c r="F589" s="1" t="s">
        <v>32</v>
      </c>
      <c r="G589" s="1" t="s">
        <v>2722</v>
      </c>
      <c r="H589" s="18"/>
    </row>
    <row r="590" spans="1:8">
      <c r="A590" s="1" t="s">
        <v>2142</v>
      </c>
      <c r="B590" s="1" t="s">
        <v>876</v>
      </c>
      <c r="C590" s="1"/>
      <c r="D590" s="1" t="s">
        <v>1489</v>
      </c>
      <c r="E590" s="1" t="s">
        <v>930</v>
      </c>
      <c r="F590" s="1" t="s">
        <v>32</v>
      </c>
      <c r="G590" s="1" t="s">
        <v>2723</v>
      </c>
      <c r="H590" s="18"/>
    </row>
    <row r="591" spans="1:8">
      <c r="A591" s="1" t="s">
        <v>2143</v>
      </c>
      <c r="B591" s="1" t="s">
        <v>876</v>
      </c>
      <c r="C591" s="1"/>
      <c r="D591" s="1" t="s">
        <v>65</v>
      </c>
      <c r="E591" s="1" t="s">
        <v>890</v>
      </c>
      <c r="F591" s="1" t="s">
        <v>32</v>
      </c>
      <c r="G591" s="1" t="s">
        <v>2722</v>
      </c>
      <c r="H591" s="18"/>
    </row>
    <row r="592" spans="1:8">
      <c r="A592" s="1" t="s">
        <v>2144</v>
      </c>
      <c r="B592" s="1" t="s">
        <v>876</v>
      </c>
      <c r="C592" s="1"/>
      <c r="D592" s="1" t="s">
        <v>1492</v>
      </c>
      <c r="E592" s="1" t="s">
        <v>42</v>
      </c>
      <c r="F592" s="1" t="s">
        <v>32</v>
      </c>
      <c r="G592" s="1" t="s">
        <v>2716</v>
      </c>
      <c r="H592" s="18"/>
    </row>
    <row r="593" spans="1:8">
      <c r="A593" s="1" t="s">
        <v>2145</v>
      </c>
      <c r="B593" s="1" t="s">
        <v>876</v>
      </c>
      <c r="C593" s="1"/>
      <c r="D593" s="1" t="s">
        <v>1494</v>
      </c>
      <c r="E593" s="1" t="s">
        <v>890</v>
      </c>
      <c r="F593" s="1" t="s">
        <v>32</v>
      </c>
      <c r="G593" s="1" t="s">
        <v>2722</v>
      </c>
      <c r="H593" s="18"/>
    </row>
    <row r="594" spans="1:8">
      <c r="A594" s="1" t="s">
        <v>2146</v>
      </c>
      <c r="B594" s="1" t="s">
        <v>876</v>
      </c>
      <c r="C594" s="1"/>
      <c r="D594" s="1" t="s">
        <v>916</v>
      </c>
      <c r="E594" s="1" t="s">
        <v>880</v>
      </c>
      <c r="F594" s="1" t="s">
        <v>32</v>
      </c>
      <c r="G594" s="1" t="s">
        <v>2720</v>
      </c>
      <c r="H594" s="18"/>
    </row>
    <row r="595" spans="1:8">
      <c r="A595" s="1" t="s">
        <v>2147</v>
      </c>
      <c r="B595" s="1" t="s">
        <v>876</v>
      </c>
      <c r="C595" s="1"/>
      <c r="D595" s="1" t="s">
        <v>1035</v>
      </c>
      <c r="E595" s="1" t="s">
        <v>880</v>
      </c>
      <c r="F595" s="1" t="s">
        <v>32</v>
      </c>
      <c r="G595" s="1" t="s">
        <v>2720</v>
      </c>
      <c r="H595" s="18"/>
    </row>
    <row r="596" spans="1:8">
      <c r="A596" s="1" t="s">
        <v>2148</v>
      </c>
      <c r="B596" s="1" t="s">
        <v>876</v>
      </c>
      <c r="C596" s="1"/>
      <c r="D596" s="1" t="s">
        <v>1018</v>
      </c>
      <c r="E596" s="1" t="s">
        <v>66</v>
      </c>
      <c r="F596" s="1" t="s">
        <v>32</v>
      </c>
      <c r="G596" s="1" t="s">
        <v>2719</v>
      </c>
      <c r="H596" s="18"/>
    </row>
    <row r="597" spans="1:8">
      <c r="A597" s="1" t="s">
        <v>2149</v>
      </c>
      <c r="B597" s="1" t="s">
        <v>876</v>
      </c>
      <c r="C597" s="1"/>
      <c r="D597" s="1" t="s">
        <v>1380</v>
      </c>
      <c r="E597" s="1" t="s">
        <v>890</v>
      </c>
      <c r="F597" s="1" t="s">
        <v>32</v>
      </c>
      <c r="G597" s="1" t="s">
        <v>2722</v>
      </c>
      <c r="H597" s="18"/>
    </row>
    <row r="598" spans="1:8">
      <c r="A598" s="1" t="s">
        <v>2150</v>
      </c>
      <c r="B598" s="1" t="s">
        <v>876</v>
      </c>
      <c r="C598" s="1"/>
      <c r="D598" s="1" t="s">
        <v>1500</v>
      </c>
      <c r="E598" s="1" t="s">
        <v>66</v>
      </c>
      <c r="F598" s="1" t="s">
        <v>32</v>
      </c>
      <c r="G598" s="1" t="s">
        <v>2719</v>
      </c>
      <c r="H598" s="18"/>
    </row>
    <row r="599" spans="1:8">
      <c r="A599" s="1" t="s">
        <v>2151</v>
      </c>
      <c r="B599" s="1" t="s">
        <v>876</v>
      </c>
      <c r="C599" s="1"/>
      <c r="D599" s="1" t="s">
        <v>1502</v>
      </c>
      <c r="E599" s="1" t="s">
        <v>890</v>
      </c>
      <c r="F599" s="1" t="s">
        <v>32</v>
      </c>
      <c r="G599" s="1" t="s">
        <v>2722</v>
      </c>
      <c r="H599" s="18"/>
    </row>
    <row r="600" spans="1:8">
      <c r="A600" s="1" t="s">
        <v>2152</v>
      </c>
      <c r="B600" s="1" t="s">
        <v>876</v>
      </c>
      <c r="C600" s="1"/>
      <c r="D600" s="1" t="s">
        <v>1008</v>
      </c>
      <c r="E600" s="1" t="s">
        <v>66</v>
      </c>
      <c r="F600" s="1" t="s">
        <v>32</v>
      </c>
      <c r="G600" s="1" t="s">
        <v>2719</v>
      </c>
      <c r="H600" s="18"/>
    </row>
    <row r="601" spans="1:8">
      <c r="A601" s="1" t="s">
        <v>2153</v>
      </c>
      <c r="B601" s="1" t="s">
        <v>876</v>
      </c>
      <c r="C601" s="1"/>
      <c r="D601" s="1" t="s">
        <v>1505</v>
      </c>
      <c r="E601" s="1" t="s">
        <v>940</v>
      </c>
      <c r="F601" s="1" t="s">
        <v>32</v>
      </c>
      <c r="G601" s="1" t="s">
        <v>2724</v>
      </c>
      <c r="H601" s="18"/>
    </row>
    <row r="602" spans="1:8">
      <c r="A602" s="1" t="s">
        <v>2154</v>
      </c>
      <c r="B602" s="1" t="s">
        <v>876</v>
      </c>
      <c r="C602" s="1"/>
      <c r="D602" s="1" t="s">
        <v>1507</v>
      </c>
      <c r="E602" s="1" t="s">
        <v>66</v>
      </c>
      <c r="F602" s="1" t="s">
        <v>32</v>
      </c>
      <c r="G602" s="1" t="s">
        <v>2719</v>
      </c>
      <c r="H602" s="18"/>
    </row>
    <row r="603" spans="1:8">
      <c r="A603" s="1" t="s">
        <v>2155</v>
      </c>
      <c r="B603" s="1" t="s">
        <v>876</v>
      </c>
      <c r="C603" s="1"/>
      <c r="D603" s="1" t="s">
        <v>1509</v>
      </c>
      <c r="E603" s="1" t="s">
        <v>890</v>
      </c>
      <c r="F603" s="1" t="s">
        <v>32</v>
      </c>
      <c r="G603" s="1" t="s">
        <v>2722</v>
      </c>
      <c r="H603" s="18"/>
    </row>
    <row r="604" spans="1:8">
      <c r="A604" s="1" t="s">
        <v>2156</v>
      </c>
      <c r="B604" s="1" t="s">
        <v>876</v>
      </c>
      <c r="C604" s="1"/>
      <c r="D604" s="1" t="s">
        <v>1511</v>
      </c>
      <c r="E604" s="1" t="s">
        <v>880</v>
      </c>
      <c r="F604" s="1" t="s">
        <v>32</v>
      </c>
      <c r="G604" s="1" t="s">
        <v>2720</v>
      </c>
      <c r="H604" s="18"/>
    </row>
    <row r="605" spans="1:8">
      <c r="A605" s="1" t="s">
        <v>2157</v>
      </c>
      <c r="B605" s="1" t="s">
        <v>876</v>
      </c>
      <c r="C605" s="1"/>
      <c r="D605" s="1" t="s">
        <v>1513</v>
      </c>
      <c r="E605" s="1" t="s">
        <v>890</v>
      </c>
      <c r="F605" s="1" t="s">
        <v>32</v>
      </c>
      <c r="G605" s="1" t="s">
        <v>2722</v>
      </c>
      <c r="H605" s="18"/>
    </row>
    <row r="606" spans="1:8">
      <c r="A606" s="1" t="s">
        <v>2158</v>
      </c>
      <c r="B606" s="1" t="s">
        <v>876</v>
      </c>
      <c r="C606" s="1"/>
      <c r="D606" s="1" t="s">
        <v>1306</v>
      </c>
      <c r="E606" s="1" t="s">
        <v>890</v>
      </c>
      <c r="F606" s="1" t="s">
        <v>32</v>
      </c>
      <c r="G606" s="1" t="s">
        <v>2722</v>
      </c>
      <c r="H606" s="18"/>
    </row>
    <row r="607" spans="1:8">
      <c r="A607" s="1" t="s">
        <v>2159</v>
      </c>
      <c r="B607" s="1" t="s">
        <v>876</v>
      </c>
      <c r="C607" s="1"/>
      <c r="D607" s="1" t="s">
        <v>948</v>
      </c>
      <c r="E607" s="1" t="s">
        <v>66</v>
      </c>
      <c r="F607" s="1" t="s">
        <v>32</v>
      </c>
      <c r="G607" s="1" t="s">
        <v>2719</v>
      </c>
      <c r="H607" s="18"/>
    </row>
    <row r="608" spans="1:8">
      <c r="A608" s="1" t="s">
        <v>2160</v>
      </c>
      <c r="B608" s="1" t="s">
        <v>876</v>
      </c>
      <c r="C608" s="1"/>
      <c r="D608" s="1" t="s">
        <v>1516</v>
      </c>
      <c r="E608" s="1" t="s">
        <v>66</v>
      </c>
      <c r="F608" s="1" t="s">
        <v>32</v>
      </c>
      <c r="G608" s="1" t="s">
        <v>2719</v>
      </c>
      <c r="H608" s="18"/>
    </row>
    <row r="609" spans="1:8">
      <c r="A609" s="1" t="s">
        <v>2161</v>
      </c>
      <c r="B609" s="1" t="s">
        <v>876</v>
      </c>
      <c r="C609" s="1"/>
      <c r="D609" s="1" t="s">
        <v>1517</v>
      </c>
      <c r="E609" s="1" t="s">
        <v>890</v>
      </c>
      <c r="F609" s="1" t="s">
        <v>32</v>
      </c>
      <c r="G609" s="1" t="s">
        <v>2722</v>
      </c>
      <c r="H609" s="18"/>
    </row>
    <row r="610" spans="1:8">
      <c r="A610" s="1" t="s">
        <v>2162</v>
      </c>
      <c r="B610" s="1" t="s">
        <v>876</v>
      </c>
      <c r="C610" s="1"/>
      <c r="D610" s="1" t="s">
        <v>1004</v>
      </c>
      <c r="E610" s="1" t="s">
        <v>66</v>
      </c>
      <c r="F610" s="1" t="s">
        <v>32</v>
      </c>
      <c r="G610" s="1" t="s">
        <v>2719</v>
      </c>
      <c r="H610" s="18"/>
    </row>
    <row r="611" spans="1:8">
      <c r="A611" s="1" t="s">
        <v>2163</v>
      </c>
      <c r="B611" s="1" t="s">
        <v>876</v>
      </c>
      <c r="C611" s="1"/>
      <c r="D611" s="1" t="s">
        <v>1378</v>
      </c>
      <c r="E611" s="1" t="s">
        <v>890</v>
      </c>
      <c r="F611" s="1" t="s">
        <v>32</v>
      </c>
      <c r="G611" s="1" t="s">
        <v>2722</v>
      </c>
      <c r="H611" s="18"/>
    </row>
    <row r="612" spans="1:8">
      <c r="A612" s="1" t="s">
        <v>2164</v>
      </c>
      <c r="B612" s="1" t="s">
        <v>876</v>
      </c>
      <c r="C612" s="1"/>
      <c r="D612" s="1" t="s">
        <v>927</v>
      </c>
      <c r="E612" s="1" t="s">
        <v>880</v>
      </c>
      <c r="F612" s="1" t="s">
        <v>32</v>
      </c>
      <c r="G612" s="1" t="s">
        <v>2720</v>
      </c>
      <c r="H612" s="18"/>
    </row>
    <row r="613" spans="1:8">
      <c r="A613" s="1" t="s">
        <v>2165</v>
      </c>
      <c r="B613" s="1" t="s">
        <v>876</v>
      </c>
      <c r="C613" s="1"/>
      <c r="D613" s="1" t="s">
        <v>1518</v>
      </c>
      <c r="E613" s="1" t="s">
        <v>890</v>
      </c>
      <c r="F613" s="1" t="s">
        <v>32</v>
      </c>
      <c r="G613" s="1" t="s">
        <v>2722</v>
      </c>
      <c r="H613" s="18"/>
    </row>
    <row r="614" spans="1:8">
      <c r="A614" s="1" t="s">
        <v>2166</v>
      </c>
      <c r="B614" s="1" t="s">
        <v>876</v>
      </c>
      <c r="C614" s="1"/>
      <c r="D614" s="1" t="s">
        <v>1299</v>
      </c>
      <c r="E614" s="1" t="s">
        <v>890</v>
      </c>
      <c r="F614" s="1" t="s">
        <v>32</v>
      </c>
      <c r="G614" s="1" t="s">
        <v>2722</v>
      </c>
      <c r="H614" s="18"/>
    </row>
    <row r="615" spans="1:8">
      <c r="A615" s="1" t="s">
        <v>2167</v>
      </c>
      <c r="B615" s="1" t="s">
        <v>876</v>
      </c>
      <c r="C615" s="1"/>
      <c r="D615" s="1" t="s">
        <v>1519</v>
      </c>
      <c r="E615" s="1" t="s">
        <v>880</v>
      </c>
      <c r="F615" s="1" t="s">
        <v>32</v>
      </c>
      <c r="G615" s="1" t="s">
        <v>2720</v>
      </c>
      <c r="H615" s="18"/>
    </row>
    <row r="616" spans="1:8">
      <c r="A616" s="1" t="s">
        <v>2168</v>
      </c>
      <c r="B616" s="1" t="s">
        <v>876</v>
      </c>
      <c r="C616" s="1"/>
      <c r="D616" s="1" t="s">
        <v>1520</v>
      </c>
      <c r="E616" s="1" t="s">
        <v>890</v>
      </c>
      <c r="F616" s="1" t="s">
        <v>32</v>
      </c>
      <c r="G616" s="1" t="s">
        <v>2722</v>
      </c>
      <c r="H616" s="18"/>
    </row>
    <row r="617" spans="1:8">
      <c r="A617" s="1" t="s">
        <v>2169</v>
      </c>
      <c r="B617" s="1" t="s">
        <v>876</v>
      </c>
      <c r="C617" s="1"/>
      <c r="D617" s="1" t="s">
        <v>1521</v>
      </c>
      <c r="E617" s="1" t="s">
        <v>930</v>
      </c>
      <c r="F617" s="1" t="s">
        <v>32</v>
      </c>
      <c r="G617" s="1" t="s">
        <v>2723</v>
      </c>
      <c r="H617" s="18"/>
    </row>
    <row r="618" spans="1:8">
      <c r="A618" s="1" t="s">
        <v>2170</v>
      </c>
      <c r="B618" s="1" t="s">
        <v>876</v>
      </c>
      <c r="C618" s="1"/>
      <c r="D618" s="1" t="s">
        <v>1522</v>
      </c>
      <c r="E618" s="1" t="s">
        <v>66</v>
      </c>
      <c r="F618" s="1" t="s">
        <v>32</v>
      </c>
      <c r="G618" s="1" t="s">
        <v>2719</v>
      </c>
      <c r="H618" s="18"/>
    </row>
    <row r="619" spans="1:8">
      <c r="A619" s="1" t="s">
        <v>2171</v>
      </c>
      <c r="B619" s="1" t="s">
        <v>876</v>
      </c>
      <c r="C619" s="1"/>
      <c r="D619" s="1" t="s">
        <v>989</v>
      </c>
      <c r="E619" s="1" t="s">
        <v>66</v>
      </c>
      <c r="F619" s="1" t="s">
        <v>32</v>
      </c>
      <c r="G619" s="1" t="s">
        <v>2719</v>
      </c>
      <c r="H619" s="18"/>
    </row>
    <row r="620" spans="1:8">
      <c r="A620" s="1" t="s">
        <v>2172</v>
      </c>
      <c r="B620" s="1" t="s">
        <v>876</v>
      </c>
      <c r="C620" s="1"/>
      <c r="D620" s="1" t="s">
        <v>1523</v>
      </c>
      <c r="E620" s="1" t="s">
        <v>930</v>
      </c>
      <c r="F620" s="1" t="s">
        <v>32</v>
      </c>
      <c r="G620" s="1" t="s">
        <v>2723</v>
      </c>
      <c r="H620" s="18"/>
    </row>
    <row r="621" spans="1:8">
      <c r="A621" s="1" t="s">
        <v>2173</v>
      </c>
      <c r="B621" s="1" t="s">
        <v>876</v>
      </c>
      <c r="C621" s="1"/>
      <c r="D621" s="1" t="s">
        <v>1373</v>
      </c>
      <c r="E621" s="1" t="s">
        <v>890</v>
      </c>
      <c r="F621" s="1" t="s">
        <v>32</v>
      </c>
      <c r="G621" s="1" t="s">
        <v>2722</v>
      </c>
      <c r="H621" s="18"/>
    </row>
    <row r="622" spans="1:8">
      <c r="A622" s="1" t="s">
        <v>2174</v>
      </c>
      <c r="B622" s="1" t="s">
        <v>876</v>
      </c>
      <c r="C622" s="1"/>
      <c r="D622" s="1" t="s">
        <v>1462</v>
      </c>
      <c r="E622" s="1" t="s">
        <v>66</v>
      </c>
      <c r="F622" s="1" t="s">
        <v>32</v>
      </c>
      <c r="G622" s="1" t="s">
        <v>2719</v>
      </c>
      <c r="H622" s="18"/>
    </row>
    <row r="623" spans="1:8">
      <c r="A623" s="1" t="s">
        <v>2175</v>
      </c>
      <c r="B623" s="1" t="s">
        <v>876</v>
      </c>
      <c r="C623" s="1"/>
      <c r="D623" s="1" t="s">
        <v>1314</v>
      </c>
      <c r="E623" s="1" t="s">
        <v>890</v>
      </c>
      <c r="F623" s="1" t="s">
        <v>32</v>
      </c>
      <c r="G623" s="1" t="s">
        <v>2722</v>
      </c>
      <c r="H623" s="18"/>
    </row>
    <row r="624" spans="1:8">
      <c r="A624" s="1" t="s">
        <v>2176</v>
      </c>
      <c r="B624" s="1" t="s">
        <v>876</v>
      </c>
      <c r="C624" s="1"/>
      <c r="D624" s="1" t="s">
        <v>1525</v>
      </c>
      <c r="E624" s="1" t="s">
        <v>66</v>
      </c>
      <c r="F624" s="1" t="s">
        <v>32</v>
      </c>
      <c r="G624" s="1" t="s">
        <v>2719</v>
      </c>
      <c r="H624" s="18"/>
    </row>
    <row r="625" spans="1:26">
      <c r="A625" s="1" t="s">
        <v>2177</v>
      </c>
      <c r="B625" s="1" t="s">
        <v>876</v>
      </c>
      <c r="C625" s="1"/>
      <c r="D625" s="1" t="s">
        <v>1526</v>
      </c>
      <c r="E625" s="1" t="s">
        <v>890</v>
      </c>
      <c r="F625" s="1" t="s">
        <v>32</v>
      </c>
      <c r="G625" s="1" t="s">
        <v>2722</v>
      </c>
      <c r="H625" s="18"/>
    </row>
    <row r="626" spans="1:26">
      <c r="A626" s="1" t="s">
        <v>2178</v>
      </c>
      <c r="B626" s="1" t="s">
        <v>876</v>
      </c>
      <c r="C626" s="1"/>
      <c r="D626" s="1" t="s">
        <v>1527</v>
      </c>
      <c r="E626" s="1" t="s">
        <v>880</v>
      </c>
      <c r="F626" s="1" t="s">
        <v>32</v>
      </c>
      <c r="G626" s="1" t="s">
        <v>2720</v>
      </c>
      <c r="H626" s="18"/>
    </row>
    <row r="627" spans="1:26">
      <c r="A627" s="1" t="s">
        <v>2179</v>
      </c>
      <c r="B627" s="1" t="s">
        <v>876</v>
      </c>
      <c r="C627" s="1"/>
      <c r="D627" s="1" t="s">
        <v>1526</v>
      </c>
      <c r="E627" s="1" t="s">
        <v>66</v>
      </c>
      <c r="F627" s="1" t="s">
        <v>32</v>
      </c>
      <c r="G627" s="1" t="s">
        <v>2719</v>
      </c>
      <c r="H627" s="18"/>
    </row>
    <row r="628" spans="1:26">
      <c r="A628" s="1" t="s">
        <v>2180</v>
      </c>
      <c r="B628" s="1" t="s">
        <v>876</v>
      </c>
      <c r="C628" s="1"/>
      <c r="D628" s="1" t="s">
        <v>1458</v>
      </c>
      <c r="E628" s="1" t="s">
        <v>890</v>
      </c>
      <c r="F628" s="1" t="s">
        <v>32</v>
      </c>
      <c r="G628" s="1" t="s">
        <v>2722</v>
      </c>
      <c r="H628" s="18"/>
    </row>
    <row r="629" spans="1:26" s="2" customFormat="1">
      <c r="A629" s="1" t="s">
        <v>2181</v>
      </c>
      <c r="B629" s="1" t="s">
        <v>876</v>
      </c>
      <c r="C629" s="1"/>
      <c r="D629" s="1" t="s">
        <v>1509</v>
      </c>
      <c r="E629" s="1" t="s">
        <v>66</v>
      </c>
      <c r="F629" s="1" t="s">
        <v>32</v>
      </c>
      <c r="G629" s="1" t="s">
        <v>2719</v>
      </c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>
      <c r="A630" s="1" t="s">
        <v>2182</v>
      </c>
      <c r="B630" s="1" t="s">
        <v>876</v>
      </c>
      <c r="C630" s="1"/>
      <c r="D630" s="1" t="s">
        <v>1528</v>
      </c>
      <c r="E630" s="1" t="s">
        <v>880</v>
      </c>
      <c r="F630" s="1" t="s">
        <v>32</v>
      </c>
      <c r="G630" s="1" t="s">
        <v>2720</v>
      </c>
      <c r="H630" s="18"/>
    </row>
    <row r="631" spans="1:26">
      <c r="A631" s="1" t="s">
        <v>2183</v>
      </c>
      <c r="B631" s="1" t="s">
        <v>876</v>
      </c>
      <c r="C631" s="1"/>
      <c r="D631" s="1" t="s">
        <v>942</v>
      </c>
      <c r="E631" s="1" t="s">
        <v>66</v>
      </c>
      <c r="F631" s="1" t="s">
        <v>32</v>
      </c>
      <c r="G631" s="1" t="s">
        <v>2719</v>
      </c>
      <c r="H631" s="18"/>
    </row>
    <row r="632" spans="1:26">
      <c r="A632" s="1" t="s">
        <v>2184</v>
      </c>
      <c r="B632" s="1" t="s">
        <v>876</v>
      </c>
      <c r="C632" s="1"/>
      <c r="D632" s="1" t="s">
        <v>918</v>
      </c>
      <c r="E632" s="1" t="s">
        <v>880</v>
      </c>
      <c r="F632" s="1" t="s">
        <v>32</v>
      </c>
      <c r="G632" s="1" t="s">
        <v>2720</v>
      </c>
      <c r="H632" s="18"/>
    </row>
    <row r="633" spans="1:26">
      <c r="A633" s="1" t="s">
        <v>2185</v>
      </c>
      <c r="B633" s="1" t="s">
        <v>876</v>
      </c>
      <c r="C633" s="1"/>
      <c r="D633" s="1" t="s">
        <v>1517</v>
      </c>
      <c r="E633" s="1" t="s">
        <v>66</v>
      </c>
      <c r="F633" s="1" t="s">
        <v>32</v>
      </c>
      <c r="G633" s="1" t="s">
        <v>2719</v>
      </c>
      <c r="H633" s="18"/>
    </row>
    <row r="634" spans="1:26">
      <c r="A634" s="1" t="s">
        <v>2186</v>
      </c>
      <c r="B634" s="1" t="s">
        <v>876</v>
      </c>
      <c r="C634" s="1"/>
      <c r="D634" s="1" t="s">
        <v>1341</v>
      </c>
      <c r="E634" s="1" t="s">
        <v>66</v>
      </c>
      <c r="F634" s="1" t="s">
        <v>32</v>
      </c>
      <c r="G634" s="1" t="s">
        <v>2719</v>
      </c>
      <c r="H634" s="18"/>
    </row>
    <row r="635" spans="1:26">
      <c r="A635" s="1" t="s">
        <v>2187</v>
      </c>
      <c r="B635" s="1" t="s">
        <v>876</v>
      </c>
      <c r="C635" s="1"/>
      <c r="D635" s="1" t="s">
        <v>1207</v>
      </c>
      <c r="E635" s="1" t="s">
        <v>880</v>
      </c>
      <c r="F635" s="1" t="s">
        <v>32</v>
      </c>
      <c r="G635" s="1" t="s">
        <v>2720</v>
      </c>
      <c r="H635" s="18"/>
    </row>
    <row r="636" spans="1:26">
      <c r="A636" s="1" t="s">
        <v>2188</v>
      </c>
      <c r="B636" s="1" t="s">
        <v>876</v>
      </c>
      <c r="C636" s="1"/>
      <c r="D636" s="1" t="s">
        <v>960</v>
      </c>
      <c r="E636" s="1" t="s">
        <v>66</v>
      </c>
      <c r="F636" s="1" t="s">
        <v>32</v>
      </c>
      <c r="G636" s="1" t="s">
        <v>2719</v>
      </c>
      <c r="H636" s="18"/>
    </row>
    <row r="637" spans="1:26">
      <c r="A637" s="1" t="s">
        <v>2189</v>
      </c>
      <c r="B637" s="1" t="s">
        <v>876</v>
      </c>
      <c r="C637" s="1"/>
      <c r="D637" s="1" t="s">
        <v>892</v>
      </c>
      <c r="E637" s="1" t="s">
        <v>66</v>
      </c>
      <c r="F637" s="1" t="s">
        <v>32</v>
      </c>
      <c r="G637" s="1" t="s">
        <v>2719</v>
      </c>
      <c r="H637" s="18"/>
    </row>
    <row r="638" spans="1:26">
      <c r="A638" s="1" t="s">
        <v>2190</v>
      </c>
      <c r="B638" s="1" t="s">
        <v>876</v>
      </c>
      <c r="C638" s="1"/>
      <c r="D638" s="1" t="s">
        <v>1520</v>
      </c>
      <c r="E638" s="1" t="s">
        <v>66</v>
      </c>
      <c r="F638" s="1" t="s">
        <v>32</v>
      </c>
      <c r="G638" s="1" t="s">
        <v>2719</v>
      </c>
      <c r="H638" s="18"/>
    </row>
    <row r="639" spans="1:26">
      <c r="A639" s="1" t="s">
        <v>2191</v>
      </c>
      <c r="B639" s="1" t="s">
        <v>876</v>
      </c>
      <c r="C639" s="1"/>
      <c r="D639" s="1" t="s">
        <v>1529</v>
      </c>
      <c r="E639" s="1" t="s">
        <v>940</v>
      </c>
      <c r="F639" s="1" t="s">
        <v>32</v>
      </c>
      <c r="G639" s="1" t="s">
        <v>2724</v>
      </c>
      <c r="H639" s="18"/>
    </row>
    <row r="640" spans="1:26">
      <c r="A640" s="1" t="s">
        <v>2192</v>
      </c>
      <c r="B640" s="1" t="s">
        <v>876</v>
      </c>
      <c r="C640" s="1"/>
      <c r="D640" s="1" t="s">
        <v>932</v>
      </c>
      <c r="E640" s="1" t="s">
        <v>880</v>
      </c>
      <c r="F640" s="1" t="s">
        <v>32</v>
      </c>
      <c r="G640" s="1" t="s">
        <v>2720</v>
      </c>
      <c r="H640" s="18"/>
    </row>
    <row r="641" spans="1:8">
      <c r="A641" s="1" t="s">
        <v>2193</v>
      </c>
      <c r="B641" s="1" t="s">
        <v>876</v>
      </c>
      <c r="C641" s="1"/>
      <c r="D641" s="1" t="s">
        <v>1530</v>
      </c>
      <c r="E641" s="1" t="s">
        <v>940</v>
      </c>
      <c r="F641" s="1" t="s">
        <v>32</v>
      </c>
      <c r="G641" s="1" t="s">
        <v>2724</v>
      </c>
      <c r="H641" s="18"/>
    </row>
    <row r="642" spans="1:8">
      <c r="A642" s="1" t="s">
        <v>2194</v>
      </c>
      <c r="B642" s="1" t="s">
        <v>876</v>
      </c>
      <c r="C642" s="1"/>
      <c r="D642" s="1" t="s">
        <v>1513</v>
      </c>
      <c r="E642" s="1" t="s">
        <v>66</v>
      </c>
      <c r="F642" s="1" t="s">
        <v>32</v>
      </c>
      <c r="G642" s="1" t="s">
        <v>2719</v>
      </c>
      <c r="H642" s="18"/>
    </row>
    <row r="643" spans="1:8">
      <c r="A643" s="1" t="s">
        <v>2195</v>
      </c>
      <c r="B643" s="1" t="s">
        <v>876</v>
      </c>
      <c r="C643" s="1"/>
      <c r="D643" s="1" t="s">
        <v>1487</v>
      </c>
      <c r="E643" s="1" t="s">
        <v>66</v>
      </c>
      <c r="F643" s="1" t="s">
        <v>32</v>
      </c>
      <c r="G643" s="1" t="s">
        <v>2719</v>
      </c>
      <c r="H643" s="18"/>
    </row>
    <row r="644" spans="1:8">
      <c r="A644" s="1" t="s">
        <v>2196</v>
      </c>
      <c r="B644" s="1" t="s">
        <v>876</v>
      </c>
      <c r="C644" s="1"/>
      <c r="D644" s="1" t="s">
        <v>884</v>
      </c>
      <c r="E644" s="1" t="s">
        <v>880</v>
      </c>
      <c r="F644" s="1" t="s">
        <v>32</v>
      </c>
      <c r="G644" s="1" t="s">
        <v>2720</v>
      </c>
      <c r="H644" s="18"/>
    </row>
    <row r="645" spans="1:8">
      <c r="A645" s="1" t="s">
        <v>2197</v>
      </c>
      <c r="B645" s="1" t="s">
        <v>876</v>
      </c>
      <c r="C645" s="1"/>
      <c r="D645" s="1" t="s">
        <v>1355</v>
      </c>
      <c r="E645" s="1" t="s">
        <v>66</v>
      </c>
      <c r="F645" s="1" t="s">
        <v>32</v>
      </c>
      <c r="G645" s="1" t="s">
        <v>2719</v>
      </c>
      <c r="H645" s="18"/>
    </row>
    <row r="646" spans="1:8">
      <c r="A646" s="1" t="s">
        <v>2198</v>
      </c>
      <c r="B646" s="1" t="s">
        <v>876</v>
      </c>
      <c r="C646" s="1"/>
      <c r="D646" s="1" t="s">
        <v>1434</v>
      </c>
      <c r="E646" s="1" t="s">
        <v>66</v>
      </c>
      <c r="F646" s="1" t="s">
        <v>32</v>
      </c>
      <c r="G646" s="1" t="s">
        <v>2719</v>
      </c>
      <c r="H646" s="18"/>
    </row>
    <row r="647" spans="1:8">
      <c r="A647" s="1" t="s">
        <v>2199</v>
      </c>
      <c r="B647" s="1" t="s">
        <v>876</v>
      </c>
      <c r="C647" s="1"/>
      <c r="D647" s="1" t="s">
        <v>1531</v>
      </c>
      <c r="E647" s="1" t="s">
        <v>66</v>
      </c>
      <c r="F647" s="1" t="s">
        <v>32</v>
      </c>
      <c r="G647" s="1" t="s">
        <v>2719</v>
      </c>
      <c r="H647" s="18"/>
    </row>
    <row r="648" spans="1:8">
      <c r="A648" s="1" t="s">
        <v>2200</v>
      </c>
      <c r="B648" s="1" t="s">
        <v>876</v>
      </c>
      <c r="C648" s="1"/>
      <c r="D648" s="1" t="s">
        <v>1502</v>
      </c>
      <c r="E648" s="1" t="s">
        <v>66</v>
      </c>
      <c r="F648" s="1" t="s">
        <v>32</v>
      </c>
      <c r="G648" s="1" t="s">
        <v>2719</v>
      </c>
      <c r="H648" s="18"/>
    </row>
    <row r="649" spans="1:8">
      <c r="A649" s="1" t="s">
        <v>2201</v>
      </c>
      <c r="B649" s="1" t="s">
        <v>876</v>
      </c>
      <c r="C649" s="1"/>
      <c r="D649" s="1" t="s">
        <v>1532</v>
      </c>
      <c r="E649" s="1" t="s">
        <v>880</v>
      </c>
      <c r="F649" s="1" t="s">
        <v>32</v>
      </c>
      <c r="G649" s="1" t="s">
        <v>2720</v>
      </c>
      <c r="H649" s="18"/>
    </row>
    <row r="650" spans="1:8">
      <c r="A650" s="1" t="s">
        <v>2202</v>
      </c>
      <c r="B650" s="1" t="s">
        <v>876</v>
      </c>
      <c r="C650" s="1"/>
      <c r="D650" s="1" t="s">
        <v>1485</v>
      </c>
      <c r="E650" s="1" t="s">
        <v>66</v>
      </c>
      <c r="F650" s="1" t="s">
        <v>32</v>
      </c>
      <c r="G650" s="1" t="s">
        <v>2719</v>
      </c>
      <c r="H650" s="18"/>
    </row>
    <row r="651" spans="1:8">
      <c r="A651" s="1" t="s">
        <v>2203</v>
      </c>
      <c r="B651" s="1" t="s">
        <v>876</v>
      </c>
      <c r="C651" s="1"/>
      <c r="D651" s="1" t="s">
        <v>1353</v>
      </c>
      <c r="E651" s="1" t="s">
        <v>66</v>
      </c>
      <c r="F651" s="1" t="s">
        <v>32</v>
      </c>
      <c r="G651" s="1" t="s">
        <v>2719</v>
      </c>
      <c r="H651" s="18"/>
    </row>
    <row r="652" spans="1:8">
      <c r="A652" s="1" t="s">
        <v>2204</v>
      </c>
      <c r="B652" s="1" t="s">
        <v>876</v>
      </c>
      <c r="C652" s="1"/>
      <c r="D652" s="1" t="s">
        <v>55</v>
      </c>
      <c r="E652" s="1" t="s">
        <v>31</v>
      </c>
      <c r="F652" s="1" t="s">
        <v>32</v>
      </c>
      <c r="G652" s="1" t="s">
        <v>2721</v>
      </c>
      <c r="H652" s="18"/>
    </row>
    <row r="653" spans="1:8">
      <c r="A653" s="1" t="s">
        <v>2205</v>
      </c>
      <c r="B653" s="1" t="s">
        <v>876</v>
      </c>
      <c r="C653" s="1"/>
      <c r="D653" s="1" t="s">
        <v>1533</v>
      </c>
      <c r="E653" s="1" t="s">
        <v>880</v>
      </c>
      <c r="F653" s="1" t="s">
        <v>32</v>
      </c>
      <c r="G653" s="1" t="s">
        <v>2720</v>
      </c>
      <c r="H653" s="18"/>
    </row>
    <row r="654" spans="1:8">
      <c r="A654" s="1" t="s">
        <v>2206</v>
      </c>
      <c r="B654" s="1" t="s">
        <v>876</v>
      </c>
      <c r="C654" s="1"/>
      <c r="D654" s="1" t="s">
        <v>1534</v>
      </c>
      <c r="E654" s="1" t="s">
        <v>66</v>
      </c>
      <c r="F654" s="1" t="s">
        <v>32</v>
      </c>
      <c r="G654" s="1" t="s">
        <v>2719</v>
      </c>
      <c r="H654" s="18"/>
    </row>
    <row r="655" spans="1:8">
      <c r="A655" s="1" t="s">
        <v>2207</v>
      </c>
      <c r="B655" s="1" t="s">
        <v>876</v>
      </c>
      <c r="C655" s="1"/>
      <c r="D655" s="1" t="s">
        <v>1535</v>
      </c>
      <c r="E655" s="1" t="s">
        <v>42</v>
      </c>
      <c r="F655" s="1" t="s">
        <v>32</v>
      </c>
      <c r="G655" s="1" t="s">
        <v>2716</v>
      </c>
      <c r="H655" s="18"/>
    </row>
    <row r="656" spans="1:8">
      <c r="A656" s="1" t="s">
        <v>2208</v>
      </c>
      <c r="B656" s="1" t="s">
        <v>876</v>
      </c>
      <c r="C656" s="1"/>
      <c r="D656" s="1" t="s">
        <v>1450</v>
      </c>
      <c r="E656" s="1" t="s">
        <v>890</v>
      </c>
      <c r="F656" s="1" t="s">
        <v>32</v>
      </c>
      <c r="G656" s="1" t="s">
        <v>2722</v>
      </c>
      <c r="H656" s="18"/>
    </row>
    <row r="657" spans="1:8">
      <c r="A657" s="1" t="s">
        <v>2209</v>
      </c>
      <c r="B657" s="1" t="s">
        <v>876</v>
      </c>
      <c r="C657" s="1"/>
      <c r="D657" s="1" t="s">
        <v>1338</v>
      </c>
      <c r="E657" s="1" t="s">
        <v>880</v>
      </c>
      <c r="F657" s="1" t="s">
        <v>32</v>
      </c>
      <c r="G657" s="1" t="s">
        <v>2720</v>
      </c>
      <c r="H657" s="18"/>
    </row>
    <row r="658" spans="1:8">
      <c r="A658" s="1" t="s">
        <v>2210</v>
      </c>
      <c r="B658" s="1" t="s">
        <v>876</v>
      </c>
      <c r="C658" s="1"/>
      <c r="D658" s="1" t="s">
        <v>1193</v>
      </c>
      <c r="E658" s="1" t="s">
        <v>890</v>
      </c>
      <c r="F658" s="1" t="s">
        <v>32</v>
      </c>
      <c r="G658" s="1" t="s">
        <v>2722</v>
      </c>
      <c r="H658" s="18"/>
    </row>
    <row r="659" spans="1:8">
      <c r="A659" s="1" t="s">
        <v>2211</v>
      </c>
      <c r="B659" s="1" t="s">
        <v>876</v>
      </c>
      <c r="C659" s="1"/>
      <c r="D659" s="1" t="s">
        <v>500</v>
      </c>
      <c r="E659" s="1" t="s">
        <v>42</v>
      </c>
      <c r="F659" s="1" t="s">
        <v>32</v>
      </c>
      <c r="G659" s="1" t="s">
        <v>2716</v>
      </c>
      <c r="H659" s="18"/>
    </row>
    <row r="660" spans="1:8">
      <c r="A660" s="1" t="s">
        <v>2212</v>
      </c>
      <c r="B660" s="1" t="s">
        <v>876</v>
      </c>
      <c r="C660" s="1"/>
      <c r="D660" s="1" t="s">
        <v>1172</v>
      </c>
      <c r="E660" s="1" t="s">
        <v>880</v>
      </c>
      <c r="F660" s="1" t="s">
        <v>32</v>
      </c>
      <c r="G660" s="1" t="s">
        <v>2720</v>
      </c>
      <c r="H660" s="18"/>
    </row>
    <row r="661" spans="1:8">
      <c r="A661" s="1" t="s">
        <v>2213</v>
      </c>
      <c r="B661" s="1" t="s">
        <v>876</v>
      </c>
      <c r="C661" s="1"/>
      <c r="D661" s="1" t="s">
        <v>1536</v>
      </c>
      <c r="E661" s="1" t="s">
        <v>890</v>
      </c>
      <c r="F661" s="1" t="s">
        <v>32</v>
      </c>
      <c r="G661" s="1" t="s">
        <v>2722</v>
      </c>
      <c r="H661" s="18"/>
    </row>
    <row r="662" spans="1:8">
      <c r="A662" s="1" t="s">
        <v>2214</v>
      </c>
      <c r="B662" s="1" t="s">
        <v>876</v>
      </c>
      <c r="C662" s="1"/>
      <c r="D662" s="1" t="s">
        <v>1139</v>
      </c>
      <c r="E662" s="1" t="s">
        <v>31</v>
      </c>
      <c r="F662" s="1" t="s">
        <v>32</v>
      </c>
      <c r="G662" s="1" t="s">
        <v>2721</v>
      </c>
      <c r="H662" s="18"/>
    </row>
    <row r="663" spans="1:8">
      <c r="A663" s="1" t="s">
        <v>2215</v>
      </c>
      <c r="B663" s="1" t="s">
        <v>876</v>
      </c>
      <c r="C663" s="1"/>
      <c r="D663" s="1" t="s">
        <v>1393</v>
      </c>
      <c r="E663" s="1" t="s">
        <v>880</v>
      </c>
      <c r="F663" s="1" t="s">
        <v>32</v>
      </c>
      <c r="G663" s="1" t="s">
        <v>2720</v>
      </c>
      <c r="H663" s="18"/>
    </row>
    <row r="664" spans="1:8">
      <c r="A664" s="1" t="s">
        <v>2216</v>
      </c>
      <c r="B664" s="1" t="s">
        <v>876</v>
      </c>
      <c r="C664" s="1"/>
      <c r="D664" s="1" t="s">
        <v>1537</v>
      </c>
      <c r="E664" s="1" t="s">
        <v>930</v>
      </c>
      <c r="F664" s="1" t="s">
        <v>32</v>
      </c>
      <c r="G664" s="1" t="s">
        <v>2723</v>
      </c>
      <c r="H664" s="18"/>
    </row>
    <row r="665" spans="1:8">
      <c r="A665" s="1" t="s">
        <v>2217</v>
      </c>
      <c r="B665" s="1" t="s">
        <v>876</v>
      </c>
      <c r="C665" s="1"/>
      <c r="D665" s="1" t="s">
        <v>1348</v>
      </c>
      <c r="E665" s="1" t="s">
        <v>66</v>
      </c>
      <c r="F665" s="1" t="s">
        <v>32</v>
      </c>
      <c r="G665" s="1" t="s">
        <v>2719</v>
      </c>
      <c r="H665" s="18"/>
    </row>
    <row r="666" spans="1:8">
      <c r="A666" s="1" t="s">
        <v>2218</v>
      </c>
      <c r="B666" s="1" t="s">
        <v>876</v>
      </c>
      <c r="C666" s="1"/>
      <c r="D666" s="1" t="s">
        <v>1538</v>
      </c>
      <c r="E666" s="1" t="s">
        <v>880</v>
      </c>
      <c r="F666" s="1" t="s">
        <v>32</v>
      </c>
      <c r="G666" s="1" t="s">
        <v>2720</v>
      </c>
      <c r="H666" s="18"/>
    </row>
    <row r="667" spans="1:8">
      <c r="A667" s="1" t="s">
        <v>2219</v>
      </c>
      <c r="B667" s="1" t="s">
        <v>876</v>
      </c>
      <c r="C667" s="1"/>
      <c r="D667" s="1" t="s">
        <v>1539</v>
      </c>
      <c r="E667" s="1" t="s">
        <v>66</v>
      </c>
      <c r="F667" s="1" t="s">
        <v>32</v>
      </c>
      <c r="G667" s="1" t="s">
        <v>2719</v>
      </c>
      <c r="H667" s="18"/>
    </row>
    <row r="668" spans="1:8">
      <c r="A668" s="1" t="s">
        <v>2220</v>
      </c>
      <c r="B668" s="1" t="s">
        <v>876</v>
      </c>
      <c r="C668" s="1"/>
      <c r="D668" s="1" t="s">
        <v>1424</v>
      </c>
      <c r="E668" s="1" t="s">
        <v>66</v>
      </c>
      <c r="F668" s="1" t="s">
        <v>32</v>
      </c>
      <c r="G668" s="1" t="s">
        <v>2719</v>
      </c>
      <c r="H668" s="18"/>
    </row>
    <row r="669" spans="1:8">
      <c r="A669" s="1" t="s">
        <v>2221</v>
      </c>
      <c r="B669" s="1" t="s">
        <v>876</v>
      </c>
      <c r="C669" s="1"/>
      <c r="D669" s="1" t="s">
        <v>1540</v>
      </c>
      <c r="E669" s="1" t="s">
        <v>930</v>
      </c>
      <c r="F669" s="1" t="s">
        <v>32</v>
      </c>
      <c r="G669" s="1" t="s">
        <v>2723</v>
      </c>
      <c r="H669" s="18"/>
    </row>
    <row r="670" spans="1:8">
      <c r="A670" s="1" t="s">
        <v>2222</v>
      </c>
      <c r="B670" s="1" t="s">
        <v>876</v>
      </c>
      <c r="C670" s="1"/>
      <c r="D670" s="1" t="s">
        <v>1541</v>
      </c>
      <c r="E670" s="1" t="s">
        <v>880</v>
      </c>
      <c r="F670" s="1" t="s">
        <v>32</v>
      </c>
      <c r="G670" s="1" t="s">
        <v>2720</v>
      </c>
      <c r="H670" s="18"/>
    </row>
    <row r="671" spans="1:8">
      <c r="A671" s="1" t="s">
        <v>2223</v>
      </c>
      <c r="B671" s="1" t="s">
        <v>876</v>
      </c>
      <c r="C671" s="1"/>
      <c r="D671" s="1" t="s">
        <v>1395</v>
      </c>
      <c r="E671" s="1" t="s">
        <v>66</v>
      </c>
      <c r="F671" s="1" t="s">
        <v>32</v>
      </c>
      <c r="G671" s="1" t="s">
        <v>2719</v>
      </c>
      <c r="H671" s="18"/>
    </row>
    <row r="672" spans="1:8">
      <c r="A672" s="1" t="s">
        <v>2224</v>
      </c>
      <c r="B672" s="1" t="s">
        <v>876</v>
      </c>
      <c r="C672" s="1"/>
      <c r="D672" s="1" t="s">
        <v>1542</v>
      </c>
      <c r="E672" s="1" t="s">
        <v>42</v>
      </c>
      <c r="F672" s="1" t="s">
        <v>32</v>
      </c>
      <c r="G672" s="1" t="s">
        <v>2716</v>
      </c>
      <c r="H672" s="18"/>
    </row>
    <row r="673" spans="1:8">
      <c r="A673" s="1" t="s">
        <v>2225</v>
      </c>
      <c r="B673" s="1" t="s">
        <v>876</v>
      </c>
      <c r="C673" s="1"/>
      <c r="D673" s="1" t="s">
        <v>61</v>
      </c>
      <c r="E673" s="1" t="s">
        <v>42</v>
      </c>
      <c r="F673" s="1" t="s">
        <v>32</v>
      </c>
      <c r="G673" s="1" t="s">
        <v>2716</v>
      </c>
      <c r="H673" s="18"/>
    </row>
    <row r="674" spans="1:8">
      <c r="A674" s="1" t="s">
        <v>2226</v>
      </c>
      <c r="B674" s="1" t="s">
        <v>876</v>
      </c>
      <c r="C674" s="1"/>
      <c r="D674" s="1" t="s">
        <v>1391</v>
      </c>
      <c r="E674" s="1" t="s">
        <v>880</v>
      </c>
      <c r="F674" s="1" t="s">
        <v>32</v>
      </c>
      <c r="G674" s="1" t="s">
        <v>2720</v>
      </c>
      <c r="H674" s="18"/>
    </row>
    <row r="675" spans="1:8">
      <c r="A675" s="1" t="s">
        <v>2227</v>
      </c>
      <c r="B675" s="1" t="s">
        <v>876</v>
      </c>
      <c r="C675" s="1"/>
      <c r="D675" s="1" t="s">
        <v>1287</v>
      </c>
      <c r="E675" s="1" t="s">
        <v>66</v>
      </c>
      <c r="F675" s="1" t="s">
        <v>32</v>
      </c>
      <c r="G675" s="1" t="s">
        <v>2719</v>
      </c>
      <c r="H675" s="18"/>
    </row>
    <row r="676" spans="1:8">
      <c r="A676" s="1" t="s">
        <v>2228</v>
      </c>
      <c r="B676" s="1" t="s">
        <v>876</v>
      </c>
      <c r="C676" s="1"/>
      <c r="D676" s="1" t="s">
        <v>1543</v>
      </c>
      <c r="E676" s="1" t="s">
        <v>66</v>
      </c>
      <c r="F676" s="1" t="s">
        <v>32</v>
      </c>
      <c r="G676" s="1" t="s">
        <v>2719</v>
      </c>
      <c r="H676" s="18"/>
    </row>
    <row r="677" spans="1:8">
      <c r="A677" s="1" t="s">
        <v>2229</v>
      </c>
      <c r="B677" s="1" t="s">
        <v>876</v>
      </c>
      <c r="C677" s="1"/>
      <c r="D677" s="1" t="s">
        <v>65</v>
      </c>
      <c r="E677" s="1" t="s">
        <v>66</v>
      </c>
      <c r="F677" s="1" t="s">
        <v>32</v>
      </c>
      <c r="G677" s="1" t="s">
        <v>2719</v>
      </c>
      <c r="H677" s="18"/>
    </row>
    <row r="678" spans="1:8">
      <c r="A678" s="1" t="s">
        <v>2230</v>
      </c>
      <c r="B678" s="1" t="s">
        <v>876</v>
      </c>
      <c r="C678" s="1"/>
      <c r="D678" s="1" t="s">
        <v>1544</v>
      </c>
      <c r="E678" s="1" t="s">
        <v>66</v>
      </c>
      <c r="F678" s="1" t="s">
        <v>32</v>
      </c>
      <c r="G678" s="1" t="s">
        <v>2719</v>
      </c>
      <c r="H678" s="18"/>
    </row>
    <row r="679" spans="1:8">
      <c r="A679" s="1" t="s">
        <v>2231</v>
      </c>
      <c r="B679" s="1" t="s">
        <v>876</v>
      </c>
      <c r="C679" s="1"/>
      <c r="D679" s="1" t="s">
        <v>1545</v>
      </c>
      <c r="E679" s="1" t="s">
        <v>880</v>
      </c>
      <c r="F679" s="1" t="s">
        <v>32</v>
      </c>
      <c r="G679" s="1" t="s">
        <v>2720</v>
      </c>
      <c r="H679" s="18"/>
    </row>
    <row r="680" spans="1:8">
      <c r="A680" s="1" t="s">
        <v>2232</v>
      </c>
      <c r="B680" s="1" t="s">
        <v>876</v>
      </c>
      <c r="C680" s="1"/>
      <c r="D680" s="1" t="s">
        <v>1366</v>
      </c>
      <c r="E680" s="1" t="s">
        <v>66</v>
      </c>
      <c r="F680" s="1" t="s">
        <v>32</v>
      </c>
      <c r="G680" s="1" t="s">
        <v>2719</v>
      </c>
      <c r="H680" s="18"/>
    </row>
    <row r="681" spans="1:8">
      <c r="A681" s="1" t="s">
        <v>2233</v>
      </c>
      <c r="B681" s="1" t="s">
        <v>876</v>
      </c>
      <c r="C681" s="1"/>
      <c r="D681" s="1" t="s">
        <v>30</v>
      </c>
      <c r="E681" s="1" t="s">
        <v>31</v>
      </c>
      <c r="F681" s="1" t="s">
        <v>32</v>
      </c>
      <c r="G681" s="1" t="s">
        <v>2721</v>
      </c>
      <c r="H681" s="18"/>
    </row>
    <row r="682" spans="1:8">
      <c r="A682" s="1" t="s">
        <v>2234</v>
      </c>
      <c r="B682" s="1" t="s">
        <v>876</v>
      </c>
      <c r="C682" s="1"/>
      <c r="D682" s="1" t="s">
        <v>1229</v>
      </c>
      <c r="E682" s="1" t="s">
        <v>66</v>
      </c>
      <c r="F682" s="1" t="s">
        <v>32</v>
      </c>
      <c r="G682" s="1" t="s">
        <v>2719</v>
      </c>
      <c r="H682" s="18"/>
    </row>
    <row r="683" spans="1:8">
      <c r="A683" s="1" t="s">
        <v>2235</v>
      </c>
      <c r="B683" s="1" t="s">
        <v>876</v>
      </c>
      <c r="C683" s="1"/>
      <c r="D683" s="1" t="s">
        <v>1538</v>
      </c>
      <c r="E683" s="1" t="s">
        <v>66</v>
      </c>
      <c r="F683" s="1" t="s">
        <v>32</v>
      </c>
      <c r="G683" s="1" t="s">
        <v>2719</v>
      </c>
      <c r="H683" s="18"/>
    </row>
    <row r="684" spans="1:8">
      <c r="A684" s="1" t="s">
        <v>2236</v>
      </c>
      <c r="B684" s="1" t="s">
        <v>876</v>
      </c>
      <c r="C684" s="1"/>
      <c r="D684" s="1" t="s">
        <v>1152</v>
      </c>
      <c r="E684" s="1" t="s">
        <v>890</v>
      </c>
      <c r="F684" s="1" t="s">
        <v>32</v>
      </c>
      <c r="G684" s="1" t="s">
        <v>2722</v>
      </c>
      <c r="H684" s="18"/>
    </row>
    <row r="685" spans="1:8">
      <c r="A685" s="1" t="s">
        <v>2237</v>
      </c>
      <c r="B685" s="1" t="s">
        <v>876</v>
      </c>
      <c r="C685" s="1"/>
      <c r="D685" s="1" t="s">
        <v>1546</v>
      </c>
      <c r="E685" s="1" t="s">
        <v>42</v>
      </c>
      <c r="F685" s="1" t="s">
        <v>32</v>
      </c>
      <c r="G685" s="1" t="s">
        <v>2716</v>
      </c>
      <c r="H685" s="18"/>
    </row>
    <row r="686" spans="1:8">
      <c r="A686" s="1" t="s">
        <v>2238</v>
      </c>
      <c r="B686" s="1" t="s">
        <v>876</v>
      </c>
      <c r="C686" s="1"/>
      <c r="D686" s="1" t="s">
        <v>1089</v>
      </c>
      <c r="E686" s="1" t="s">
        <v>880</v>
      </c>
      <c r="F686" s="1" t="s">
        <v>32</v>
      </c>
      <c r="G686" s="1" t="s">
        <v>2720</v>
      </c>
      <c r="H686" s="18"/>
    </row>
    <row r="687" spans="1:8">
      <c r="A687" s="1" t="s">
        <v>2239</v>
      </c>
      <c r="B687" s="1" t="s">
        <v>876</v>
      </c>
      <c r="C687" s="1"/>
      <c r="D687" s="1" t="s">
        <v>1258</v>
      </c>
      <c r="E687" s="1" t="s">
        <v>890</v>
      </c>
      <c r="F687" s="1" t="s">
        <v>32</v>
      </c>
      <c r="G687" s="1" t="s">
        <v>2722</v>
      </c>
      <c r="H687" s="18"/>
    </row>
    <row r="688" spans="1:8">
      <c r="A688" s="1" t="s">
        <v>2240</v>
      </c>
      <c r="B688" s="1" t="s">
        <v>876</v>
      </c>
      <c r="C688" s="1"/>
      <c r="D688" s="1" t="s">
        <v>1165</v>
      </c>
      <c r="E688" s="1" t="s">
        <v>66</v>
      </c>
      <c r="F688" s="1" t="s">
        <v>32</v>
      </c>
      <c r="G688" s="1" t="s">
        <v>2719</v>
      </c>
      <c r="H688" s="17"/>
    </row>
    <row r="689" spans="1:8">
      <c r="A689" s="1" t="s">
        <v>2241</v>
      </c>
      <c r="B689" s="1" t="s">
        <v>876</v>
      </c>
      <c r="C689" s="1"/>
      <c r="D689" s="1" t="s">
        <v>1436</v>
      </c>
      <c r="E689" s="1" t="s">
        <v>66</v>
      </c>
      <c r="F689" s="1" t="s">
        <v>32</v>
      </c>
      <c r="G689" s="1" t="s">
        <v>2719</v>
      </c>
      <c r="H689" s="18"/>
    </row>
    <row r="690" spans="1:8">
      <c r="A690" s="1" t="s">
        <v>2242</v>
      </c>
      <c r="B690" s="1" t="s">
        <v>876</v>
      </c>
      <c r="C690" s="1"/>
      <c r="D690" s="1" t="s">
        <v>1547</v>
      </c>
      <c r="E690" s="1" t="s">
        <v>890</v>
      </c>
      <c r="F690" s="1" t="s">
        <v>32</v>
      </c>
      <c r="G690" s="1" t="s">
        <v>2722</v>
      </c>
      <c r="H690" s="18"/>
    </row>
    <row r="691" spans="1:8">
      <c r="A691" s="1" t="s">
        <v>2243</v>
      </c>
      <c r="B691" s="1" t="s">
        <v>876</v>
      </c>
      <c r="C691" s="1"/>
      <c r="D691" s="1" t="s">
        <v>1548</v>
      </c>
      <c r="E691" s="1" t="s">
        <v>890</v>
      </c>
      <c r="F691" s="1" t="s">
        <v>32</v>
      </c>
      <c r="G691" s="1" t="s">
        <v>2722</v>
      </c>
      <c r="H691" s="18"/>
    </row>
    <row r="692" spans="1:8">
      <c r="A692" s="1" t="s">
        <v>2244</v>
      </c>
      <c r="B692" s="1" t="s">
        <v>876</v>
      </c>
      <c r="C692" s="1"/>
      <c r="D692" s="1" t="s">
        <v>1364</v>
      </c>
      <c r="E692" s="1" t="s">
        <v>66</v>
      </c>
      <c r="F692" s="1" t="s">
        <v>32</v>
      </c>
      <c r="G692" s="1" t="s">
        <v>2719</v>
      </c>
      <c r="H692" s="18"/>
    </row>
    <row r="693" spans="1:8">
      <c r="A693" s="1" t="s">
        <v>2245</v>
      </c>
      <c r="B693" s="1" t="s">
        <v>876</v>
      </c>
      <c r="C693" s="1"/>
      <c r="D693" s="1" t="s">
        <v>1254</v>
      </c>
      <c r="E693" s="1" t="s">
        <v>880</v>
      </c>
      <c r="F693" s="1" t="s">
        <v>32</v>
      </c>
      <c r="G693" s="1" t="s">
        <v>2720</v>
      </c>
      <c r="H693" s="18"/>
    </row>
    <row r="694" spans="1:8">
      <c r="A694" s="1" t="s">
        <v>2246</v>
      </c>
      <c r="B694" s="1" t="s">
        <v>876</v>
      </c>
      <c r="C694" s="1"/>
      <c r="D694" s="1" t="s">
        <v>1549</v>
      </c>
      <c r="E694" s="1" t="s">
        <v>42</v>
      </c>
      <c r="F694" s="1" t="s">
        <v>32</v>
      </c>
      <c r="G694" s="1" t="s">
        <v>2716</v>
      </c>
      <c r="H694" s="18"/>
    </row>
    <row r="695" spans="1:8">
      <c r="A695" s="1" t="s">
        <v>2247</v>
      </c>
      <c r="B695" s="1" t="s">
        <v>876</v>
      </c>
      <c r="C695" s="1"/>
      <c r="D695" s="1" t="s">
        <v>1522</v>
      </c>
      <c r="E695" s="1" t="s">
        <v>880</v>
      </c>
      <c r="F695" s="1" t="s">
        <v>32</v>
      </c>
      <c r="G695" s="1" t="s">
        <v>2720</v>
      </c>
      <c r="H695" s="18"/>
    </row>
    <row r="696" spans="1:8">
      <c r="A696" s="1" t="s">
        <v>2248</v>
      </c>
      <c r="B696" s="1" t="s">
        <v>876</v>
      </c>
      <c r="C696" s="1"/>
      <c r="D696" s="1" t="s">
        <v>1550</v>
      </c>
      <c r="E696" s="1" t="s">
        <v>66</v>
      </c>
      <c r="F696" s="1" t="s">
        <v>32</v>
      </c>
      <c r="G696" s="1" t="s">
        <v>2719</v>
      </c>
      <c r="H696" s="18"/>
    </row>
    <row r="697" spans="1:8">
      <c r="A697" s="1" t="s">
        <v>2249</v>
      </c>
      <c r="B697" s="1" t="s">
        <v>876</v>
      </c>
      <c r="C697" s="1"/>
      <c r="D697" s="1" t="s">
        <v>1551</v>
      </c>
      <c r="E697" s="1" t="s">
        <v>880</v>
      </c>
      <c r="F697" s="1" t="s">
        <v>32</v>
      </c>
      <c r="G697" s="1" t="s">
        <v>2720</v>
      </c>
      <c r="H697" s="18"/>
    </row>
    <row r="698" spans="1:8">
      <c r="A698" s="1" t="s">
        <v>2250</v>
      </c>
      <c r="B698" s="1" t="s">
        <v>876</v>
      </c>
      <c r="C698" s="1"/>
      <c r="D698" s="1" t="s">
        <v>1242</v>
      </c>
      <c r="E698" s="1" t="s">
        <v>66</v>
      </c>
      <c r="F698" s="1" t="s">
        <v>32</v>
      </c>
      <c r="G698" s="1" t="s">
        <v>2719</v>
      </c>
      <c r="H698" s="18"/>
    </row>
    <row r="699" spans="1:8">
      <c r="A699" s="1" t="s">
        <v>2251</v>
      </c>
      <c r="B699" s="1" t="s">
        <v>876</v>
      </c>
      <c r="C699" s="1"/>
      <c r="D699" s="1" t="s">
        <v>1552</v>
      </c>
      <c r="E699" s="1" t="s">
        <v>42</v>
      </c>
      <c r="F699" s="1" t="s">
        <v>32</v>
      </c>
      <c r="G699" s="1" t="s">
        <v>2716</v>
      </c>
      <c r="H699" s="18"/>
    </row>
    <row r="700" spans="1:8">
      <c r="A700" s="1" t="s">
        <v>2252</v>
      </c>
      <c r="B700" s="1" t="s">
        <v>876</v>
      </c>
      <c r="C700" s="1"/>
      <c r="D700" s="1" t="s">
        <v>53</v>
      </c>
      <c r="E700" s="1" t="s">
        <v>42</v>
      </c>
      <c r="F700" s="1" t="s">
        <v>32</v>
      </c>
      <c r="G700" s="1" t="s">
        <v>2716</v>
      </c>
      <c r="H700" s="18"/>
    </row>
    <row r="701" spans="1:8">
      <c r="A701" s="1" t="s">
        <v>2253</v>
      </c>
      <c r="B701" s="1" t="s">
        <v>876</v>
      </c>
      <c r="C701" s="1"/>
      <c r="D701" s="1" t="s">
        <v>1553</v>
      </c>
      <c r="E701" s="1" t="s">
        <v>31</v>
      </c>
      <c r="F701" s="1" t="s">
        <v>32</v>
      </c>
      <c r="G701" s="1" t="s">
        <v>2721</v>
      </c>
      <c r="H701" s="18"/>
    </row>
    <row r="702" spans="1:8">
      <c r="A702" s="1" t="s">
        <v>2254</v>
      </c>
      <c r="B702" s="1" t="s">
        <v>876</v>
      </c>
      <c r="C702" s="1"/>
      <c r="D702" s="1" t="s">
        <v>1182</v>
      </c>
      <c r="E702" s="1" t="s">
        <v>66</v>
      </c>
      <c r="F702" s="1" t="s">
        <v>32</v>
      </c>
      <c r="G702" s="1" t="s">
        <v>2719</v>
      </c>
      <c r="H702" s="18"/>
    </row>
    <row r="703" spans="1:8">
      <c r="A703" s="1" t="s">
        <v>2255</v>
      </c>
      <c r="B703" s="1" t="s">
        <v>876</v>
      </c>
      <c r="C703" s="1"/>
      <c r="D703" s="1" t="s">
        <v>1511</v>
      </c>
      <c r="E703" s="1" t="s">
        <v>66</v>
      </c>
      <c r="F703" s="1" t="s">
        <v>32</v>
      </c>
      <c r="G703" s="1" t="s">
        <v>2719</v>
      </c>
      <c r="H703" s="18"/>
    </row>
    <row r="704" spans="1:8">
      <c r="A704" s="1" t="s">
        <v>2256</v>
      </c>
      <c r="B704" s="1" t="s">
        <v>876</v>
      </c>
      <c r="C704" s="1"/>
      <c r="D704" s="1" t="s">
        <v>1200</v>
      </c>
      <c r="E704" s="1" t="s">
        <v>890</v>
      </c>
      <c r="F704" s="1" t="s">
        <v>32</v>
      </c>
      <c r="G704" s="1" t="s">
        <v>2722</v>
      </c>
      <c r="H704" s="18"/>
    </row>
    <row r="705" spans="1:8">
      <c r="A705" s="1" t="s">
        <v>2257</v>
      </c>
      <c r="B705" s="1" t="s">
        <v>876</v>
      </c>
      <c r="C705" s="1"/>
      <c r="D705" s="1" t="s">
        <v>1528</v>
      </c>
      <c r="E705" s="1" t="s">
        <v>66</v>
      </c>
      <c r="F705" s="1" t="s">
        <v>32</v>
      </c>
      <c r="G705" s="1" t="s">
        <v>2719</v>
      </c>
      <c r="H705" s="18"/>
    </row>
    <row r="706" spans="1:8">
      <c r="A706" s="1" t="s">
        <v>2258</v>
      </c>
      <c r="B706" s="1" t="s">
        <v>876</v>
      </c>
      <c r="C706" s="1"/>
      <c r="D706" s="1" t="s">
        <v>1070</v>
      </c>
      <c r="E706" s="1" t="s">
        <v>880</v>
      </c>
      <c r="F706" s="1" t="s">
        <v>32</v>
      </c>
      <c r="G706" s="1" t="s">
        <v>2720</v>
      </c>
      <c r="H706" s="18"/>
    </row>
    <row r="707" spans="1:8">
      <c r="A707" s="1" t="s">
        <v>2259</v>
      </c>
      <c r="B707" s="1" t="s">
        <v>876</v>
      </c>
      <c r="C707" s="1"/>
      <c r="D707" s="1" t="s">
        <v>71</v>
      </c>
      <c r="E707" s="1" t="s">
        <v>42</v>
      </c>
      <c r="F707" s="1" t="s">
        <v>32</v>
      </c>
      <c r="G707" s="1" t="s">
        <v>2716</v>
      </c>
      <c r="H707" s="18"/>
    </row>
    <row r="708" spans="1:8">
      <c r="A708" s="1" t="s">
        <v>2260</v>
      </c>
      <c r="B708" s="1" t="s">
        <v>876</v>
      </c>
      <c r="C708" s="1"/>
      <c r="D708" s="1" t="s">
        <v>1310</v>
      </c>
      <c r="E708" s="1" t="s">
        <v>890</v>
      </c>
      <c r="F708" s="1" t="s">
        <v>32</v>
      </c>
      <c r="G708" s="1" t="s">
        <v>2722</v>
      </c>
      <c r="H708" s="18"/>
    </row>
    <row r="709" spans="1:8">
      <c r="A709" s="1" t="s">
        <v>2261</v>
      </c>
      <c r="B709" s="1" t="s">
        <v>876</v>
      </c>
      <c r="C709" s="1"/>
      <c r="D709" s="1" t="s">
        <v>1555</v>
      </c>
      <c r="E709" s="1" t="s">
        <v>66</v>
      </c>
      <c r="F709" s="1" t="s">
        <v>32</v>
      </c>
      <c r="G709" s="1" t="s">
        <v>2719</v>
      </c>
      <c r="H709" s="18"/>
    </row>
    <row r="710" spans="1:8">
      <c r="A710" s="1" t="s">
        <v>2262</v>
      </c>
      <c r="B710" s="1" t="s">
        <v>876</v>
      </c>
      <c r="C710" s="1"/>
      <c r="D710" s="1" t="s">
        <v>1556</v>
      </c>
      <c r="E710" s="1" t="s">
        <v>940</v>
      </c>
      <c r="F710" s="1" t="s">
        <v>32</v>
      </c>
      <c r="G710" s="1" t="s">
        <v>2724</v>
      </c>
      <c r="H710" s="18"/>
    </row>
    <row r="711" spans="1:8">
      <c r="A711" s="1" t="s">
        <v>2263</v>
      </c>
      <c r="B711" s="1" t="s">
        <v>876</v>
      </c>
      <c r="C711" s="1"/>
      <c r="D711" s="1" t="s">
        <v>1223</v>
      </c>
      <c r="E711" s="1" t="s">
        <v>66</v>
      </c>
      <c r="F711" s="1" t="s">
        <v>32</v>
      </c>
      <c r="G711" s="1" t="s">
        <v>2719</v>
      </c>
      <c r="H711" s="18"/>
    </row>
    <row r="712" spans="1:8">
      <c r="A712" s="1" t="s">
        <v>2264</v>
      </c>
      <c r="B712" s="1" t="s">
        <v>876</v>
      </c>
      <c r="C712" s="1"/>
      <c r="D712" s="1" t="s">
        <v>1557</v>
      </c>
      <c r="E712" s="1" t="s">
        <v>940</v>
      </c>
      <c r="F712" s="1" t="s">
        <v>32</v>
      </c>
      <c r="G712" s="1" t="s">
        <v>2724</v>
      </c>
      <c r="H712" s="18"/>
    </row>
    <row r="713" spans="1:8">
      <c r="A713" s="1" t="s">
        <v>2265</v>
      </c>
      <c r="B713" s="1" t="s">
        <v>876</v>
      </c>
      <c r="C713" s="1"/>
      <c r="D713" s="1" t="s">
        <v>1500</v>
      </c>
      <c r="E713" s="1" t="s">
        <v>880</v>
      </c>
      <c r="F713" s="1" t="s">
        <v>32</v>
      </c>
      <c r="G713" s="1" t="s">
        <v>2720</v>
      </c>
      <c r="H713" s="18"/>
    </row>
    <row r="714" spans="1:8">
      <c r="A714" s="1" t="s">
        <v>2266</v>
      </c>
      <c r="B714" s="1" t="s">
        <v>876</v>
      </c>
      <c r="C714" s="1"/>
      <c r="D714" s="1" t="s">
        <v>1220</v>
      </c>
      <c r="E714" s="1" t="s">
        <v>66</v>
      </c>
      <c r="F714" s="1" t="s">
        <v>32</v>
      </c>
      <c r="G714" s="1" t="s">
        <v>2719</v>
      </c>
      <c r="H714" s="18"/>
    </row>
    <row r="715" spans="1:8">
      <c r="A715" s="1" t="s">
        <v>2267</v>
      </c>
      <c r="B715" s="1" t="s">
        <v>876</v>
      </c>
      <c r="C715" s="1"/>
      <c r="D715" s="1" t="s">
        <v>1234</v>
      </c>
      <c r="E715" s="1" t="s">
        <v>66</v>
      </c>
      <c r="F715" s="1" t="s">
        <v>32</v>
      </c>
      <c r="G715" s="1" t="s">
        <v>2719</v>
      </c>
      <c r="H715" s="18"/>
    </row>
    <row r="716" spans="1:8">
      <c r="A716" s="1" t="s">
        <v>2268</v>
      </c>
      <c r="B716" s="1" t="s">
        <v>876</v>
      </c>
      <c r="C716" s="1"/>
      <c r="D716" s="1" t="s">
        <v>1516</v>
      </c>
      <c r="E716" s="1" t="s">
        <v>890</v>
      </c>
      <c r="F716" s="1" t="s">
        <v>32</v>
      </c>
      <c r="G716" s="1" t="s">
        <v>2722</v>
      </c>
      <c r="H716" s="18"/>
    </row>
    <row r="717" spans="1:8">
      <c r="A717" s="1" t="s">
        <v>2269</v>
      </c>
      <c r="B717" s="1" t="s">
        <v>876</v>
      </c>
      <c r="C717" s="1"/>
      <c r="D717" s="1" t="s">
        <v>1543</v>
      </c>
      <c r="E717" s="1" t="s">
        <v>890</v>
      </c>
      <c r="F717" s="1" t="s">
        <v>32</v>
      </c>
      <c r="G717" s="1" t="s">
        <v>2722</v>
      </c>
      <c r="H717" s="18"/>
    </row>
    <row r="718" spans="1:8">
      <c r="A718" s="1" t="s">
        <v>2270</v>
      </c>
      <c r="B718" s="1" t="s">
        <v>876</v>
      </c>
      <c r="C718" s="1"/>
      <c r="D718" s="1" t="s">
        <v>1240</v>
      </c>
      <c r="E718" s="1" t="s">
        <v>880</v>
      </c>
      <c r="F718" s="1" t="s">
        <v>32</v>
      </c>
      <c r="G718" s="1" t="s">
        <v>2720</v>
      </c>
      <c r="H718" s="18"/>
    </row>
    <row r="719" spans="1:8">
      <c r="A719" s="1" t="s">
        <v>2271</v>
      </c>
      <c r="B719" s="1" t="s">
        <v>876</v>
      </c>
      <c r="C719" s="1"/>
      <c r="D719" s="1" t="s">
        <v>966</v>
      </c>
      <c r="E719" s="1" t="s">
        <v>880</v>
      </c>
      <c r="F719" s="1" t="s">
        <v>32</v>
      </c>
      <c r="G719" s="1" t="s">
        <v>2720</v>
      </c>
      <c r="H719" s="18"/>
    </row>
    <row r="720" spans="1:8">
      <c r="A720" s="1" t="s">
        <v>2272</v>
      </c>
      <c r="B720" s="1" t="s">
        <v>876</v>
      </c>
      <c r="C720" s="1"/>
      <c r="D720" s="1" t="s">
        <v>1558</v>
      </c>
      <c r="E720" s="1" t="s">
        <v>66</v>
      </c>
      <c r="F720" s="1" t="s">
        <v>32</v>
      </c>
      <c r="G720" s="1" t="s">
        <v>2719</v>
      </c>
      <c r="H720" s="18"/>
    </row>
    <row r="721" spans="1:8">
      <c r="A721" s="1" t="s">
        <v>2273</v>
      </c>
      <c r="B721" s="1" t="s">
        <v>876</v>
      </c>
      <c r="C721" s="1"/>
      <c r="D721" s="1" t="s">
        <v>1039</v>
      </c>
      <c r="E721" s="1" t="s">
        <v>890</v>
      </c>
      <c r="F721" s="1" t="s">
        <v>32</v>
      </c>
      <c r="G721" s="1" t="s">
        <v>2722</v>
      </c>
      <c r="H721" s="18"/>
    </row>
    <row r="722" spans="1:8">
      <c r="A722" s="1" t="s">
        <v>2274</v>
      </c>
      <c r="B722" s="1" t="s">
        <v>876</v>
      </c>
      <c r="C722" s="1"/>
      <c r="D722" s="1" t="s">
        <v>1436</v>
      </c>
      <c r="E722" s="1" t="s">
        <v>880</v>
      </c>
      <c r="F722" s="1" t="s">
        <v>32</v>
      </c>
      <c r="G722" s="1" t="s">
        <v>2720</v>
      </c>
      <c r="H722" s="18"/>
    </row>
    <row r="723" spans="1:8">
      <c r="A723" s="1" t="s">
        <v>2275</v>
      </c>
      <c r="B723" s="1" t="s">
        <v>876</v>
      </c>
      <c r="C723" s="1"/>
      <c r="D723" s="1" t="s">
        <v>1559</v>
      </c>
      <c r="E723" s="1" t="s">
        <v>42</v>
      </c>
      <c r="F723" s="1" t="s">
        <v>32</v>
      </c>
      <c r="G723" s="1" t="s">
        <v>2716</v>
      </c>
      <c r="H723" s="18"/>
    </row>
    <row r="724" spans="1:8">
      <c r="A724" s="1" t="s">
        <v>2276</v>
      </c>
      <c r="B724" s="1" t="s">
        <v>876</v>
      </c>
      <c r="C724" s="1"/>
      <c r="D724" s="1" t="s">
        <v>1560</v>
      </c>
      <c r="E724" s="1" t="s">
        <v>31</v>
      </c>
      <c r="F724" s="1" t="s">
        <v>32</v>
      </c>
      <c r="G724" s="1" t="s">
        <v>2721</v>
      </c>
      <c r="H724" s="18"/>
    </row>
    <row r="725" spans="1:8">
      <c r="A725" s="1" t="s">
        <v>2277</v>
      </c>
      <c r="B725" s="1" t="s">
        <v>876</v>
      </c>
      <c r="C725" s="1"/>
      <c r="D725" s="1" t="s">
        <v>1000</v>
      </c>
      <c r="E725" s="1" t="s">
        <v>880</v>
      </c>
      <c r="F725" s="1" t="s">
        <v>32</v>
      </c>
      <c r="G725" s="1" t="s">
        <v>2720</v>
      </c>
      <c r="H725" s="18"/>
    </row>
    <row r="726" spans="1:8">
      <c r="A726" s="1" t="s">
        <v>2278</v>
      </c>
      <c r="B726" s="1" t="s">
        <v>876</v>
      </c>
      <c r="C726" s="1"/>
      <c r="D726" s="1" t="s">
        <v>1561</v>
      </c>
      <c r="E726" s="1" t="s">
        <v>880</v>
      </c>
      <c r="F726" s="1" t="s">
        <v>32</v>
      </c>
      <c r="G726" s="1" t="s">
        <v>2720</v>
      </c>
      <c r="H726" s="18"/>
    </row>
    <row r="727" spans="1:8">
      <c r="A727" s="1" t="s">
        <v>2279</v>
      </c>
      <c r="B727" s="1" t="s">
        <v>876</v>
      </c>
      <c r="C727" s="1"/>
      <c r="D727" s="1" t="s">
        <v>1161</v>
      </c>
      <c r="E727" s="1" t="s">
        <v>66</v>
      </c>
      <c r="F727" s="1" t="s">
        <v>32</v>
      </c>
      <c r="G727" s="1" t="s">
        <v>2719</v>
      </c>
      <c r="H727" s="18"/>
    </row>
    <row r="728" spans="1:8">
      <c r="A728" s="1" t="s">
        <v>2280</v>
      </c>
      <c r="B728" s="1" t="s">
        <v>876</v>
      </c>
      <c r="C728" s="1"/>
      <c r="D728" s="1" t="s">
        <v>1563</v>
      </c>
      <c r="E728" s="1" t="s">
        <v>880</v>
      </c>
      <c r="F728" s="1" t="s">
        <v>32</v>
      </c>
      <c r="G728" s="1" t="s">
        <v>2720</v>
      </c>
      <c r="H728" s="18"/>
    </row>
    <row r="729" spans="1:8">
      <c r="A729" s="1" t="s">
        <v>2281</v>
      </c>
      <c r="B729" s="1" t="s">
        <v>876</v>
      </c>
      <c r="C729" s="1"/>
      <c r="D729" s="1" t="s">
        <v>1564</v>
      </c>
      <c r="E729" s="1" t="s">
        <v>930</v>
      </c>
      <c r="F729" s="1" t="s">
        <v>32</v>
      </c>
      <c r="G729" s="1" t="s">
        <v>2723</v>
      </c>
      <c r="H729" s="18"/>
    </row>
    <row r="730" spans="1:8">
      <c r="A730" s="1" t="s">
        <v>2282</v>
      </c>
      <c r="B730" s="1" t="s">
        <v>876</v>
      </c>
      <c r="C730" s="1"/>
      <c r="D730" s="1" t="s">
        <v>1565</v>
      </c>
      <c r="E730" s="1" t="s">
        <v>66</v>
      </c>
      <c r="F730" s="1" t="s">
        <v>32</v>
      </c>
      <c r="G730" s="1" t="s">
        <v>2719</v>
      </c>
      <c r="H730" s="18"/>
    </row>
    <row r="731" spans="1:8">
      <c r="A731" s="1" t="s">
        <v>2283</v>
      </c>
      <c r="B731" s="1" t="s">
        <v>876</v>
      </c>
      <c r="C731" s="1"/>
      <c r="D731" s="1" t="s">
        <v>1548</v>
      </c>
      <c r="E731" s="1" t="s">
        <v>66</v>
      </c>
      <c r="F731" s="1" t="s">
        <v>32</v>
      </c>
      <c r="G731" s="1" t="s">
        <v>2719</v>
      </c>
      <c r="H731" s="18"/>
    </row>
    <row r="732" spans="1:8">
      <c r="A732" s="1" t="s">
        <v>2284</v>
      </c>
      <c r="B732" s="1" t="s">
        <v>876</v>
      </c>
      <c r="C732" s="1"/>
      <c r="D732" s="1" t="s">
        <v>1150</v>
      </c>
      <c r="E732" s="1" t="s">
        <v>890</v>
      </c>
      <c r="F732" s="1" t="s">
        <v>32</v>
      </c>
      <c r="G732" s="1" t="s">
        <v>2722</v>
      </c>
      <c r="H732" s="18"/>
    </row>
    <row r="733" spans="1:8">
      <c r="A733" s="1" t="s">
        <v>2285</v>
      </c>
      <c r="B733" s="1" t="s">
        <v>876</v>
      </c>
      <c r="C733" s="1"/>
      <c r="D733" s="1" t="s">
        <v>1292</v>
      </c>
      <c r="E733" s="1" t="s">
        <v>66</v>
      </c>
      <c r="F733" s="1" t="s">
        <v>32</v>
      </c>
      <c r="G733" s="1" t="s">
        <v>2719</v>
      </c>
      <c r="H733" s="18"/>
    </row>
    <row r="734" spans="1:8">
      <c r="A734" s="1" t="s">
        <v>2286</v>
      </c>
      <c r="B734" s="1" t="s">
        <v>876</v>
      </c>
      <c r="C734" s="1"/>
      <c r="D734" s="1" t="s">
        <v>1122</v>
      </c>
      <c r="E734" s="1" t="s">
        <v>890</v>
      </c>
      <c r="F734" s="1" t="s">
        <v>32</v>
      </c>
      <c r="G734" s="1" t="s">
        <v>2722</v>
      </c>
      <c r="H734" s="18"/>
    </row>
    <row r="735" spans="1:8">
      <c r="A735" s="1" t="s">
        <v>2287</v>
      </c>
      <c r="B735" s="1" t="s">
        <v>876</v>
      </c>
      <c r="C735" s="1"/>
      <c r="D735" s="1" t="s">
        <v>1187</v>
      </c>
      <c r="E735" s="1" t="s">
        <v>66</v>
      </c>
      <c r="F735" s="1" t="s">
        <v>32</v>
      </c>
      <c r="G735" s="1" t="s">
        <v>2719</v>
      </c>
      <c r="H735" s="18"/>
    </row>
    <row r="736" spans="1:8">
      <c r="A736" s="1" t="s">
        <v>2288</v>
      </c>
      <c r="B736" s="1" t="s">
        <v>876</v>
      </c>
      <c r="C736" s="1"/>
      <c r="D736" s="1" t="s">
        <v>1370</v>
      </c>
      <c r="E736" s="1" t="s">
        <v>890</v>
      </c>
      <c r="F736" s="1" t="s">
        <v>32</v>
      </c>
      <c r="G736" s="1" t="s">
        <v>2722</v>
      </c>
      <c r="H736" s="18"/>
    </row>
    <row r="737" spans="1:8">
      <c r="A737" s="1" t="s">
        <v>2289</v>
      </c>
      <c r="B737" s="1" t="s">
        <v>876</v>
      </c>
      <c r="C737" s="1"/>
      <c r="D737" s="1" t="s">
        <v>1010</v>
      </c>
      <c r="E737" s="1" t="s">
        <v>880</v>
      </c>
      <c r="F737" s="1" t="s">
        <v>32</v>
      </c>
      <c r="G737" s="1" t="s">
        <v>2720</v>
      </c>
      <c r="H737" s="18"/>
    </row>
    <row r="738" spans="1:8">
      <c r="A738" s="1" t="s">
        <v>2290</v>
      </c>
      <c r="B738" s="1" t="s">
        <v>876</v>
      </c>
      <c r="C738" s="1"/>
      <c r="D738" s="1" t="s">
        <v>1362</v>
      </c>
      <c r="E738" s="1" t="s">
        <v>66</v>
      </c>
      <c r="F738" s="1" t="s">
        <v>32</v>
      </c>
      <c r="G738" s="1" t="s">
        <v>2719</v>
      </c>
      <c r="H738" s="17"/>
    </row>
    <row r="739" spans="1:8">
      <c r="A739" s="1" t="s">
        <v>2291</v>
      </c>
      <c r="B739" s="1" t="s">
        <v>876</v>
      </c>
      <c r="C739" s="1"/>
      <c r="D739" s="1" t="s">
        <v>1561</v>
      </c>
      <c r="E739" s="1" t="s">
        <v>66</v>
      </c>
      <c r="F739" s="1" t="s">
        <v>32</v>
      </c>
      <c r="G739" s="1" t="s">
        <v>2719</v>
      </c>
      <c r="H739" s="18"/>
    </row>
    <row r="740" spans="1:8">
      <c r="A740" s="1" t="s">
        <v>2292</v>
      </c>
      <c r="B740" s="1" t="s">
        <v>876</v>
      </c>
      <c r="C740" s="1"/>
      <c r="D740" s="1" t="s">
        <v>1563</v>
      </c>
      <c r="E740" s="1" t="s">
        <v>66</v>
      </c>
      <c r="F740" s="1" t="s">
        <v>32</v>
      </c>
      <c r="G740" s="1" t="s">
        <v>2719</v>
      </c>
      <c r="H740" s="18"/>
    </row>
    <row r="741" spans="1:8">
      <c r="A741" s="1" t="s">
        <v>2293</v>
      </c>
      <c r="B741" s="1" t="s">
        <v>876</v>
      </c>
      <c r="C741" s="1"/>
      <c r="D741" s="1" t="s">
        <v>1566</v>
      </c>
      <c r="E741" s="1" t="s">
        <v>930</v>
      </c>
      <c r="F741" s="1" t="s">
        <v>32</v>
      </c>
      <c r="G741" s="1" t="s">
        <v>2723</v>
      </c>
      <c r="H741" s="18"/>
    </row>
    <row r="742" spans="1:8">
      <c r="A742" s="1" t="s">
        <v>2294</v>
      </c>
      <c r="B742" s="1" t="s">
        <v>876</v>
      </c>
      <c r="C742" s="1"/>
      <c r="D742" s="1" t="s">
        <v>1519</v>
      </c>
      <c r="E742" s="1" t="s">
        <v>66</v>
      </c>
      <c r="F742" s="1" t="s">
        <v>32</v>
      </c>
      <c r="G742" s="1" t="s">
        <v>2719</v>
      </c>
      <c r="H742" s="18"/>
    </row>
    <row r="743" spans="1:8">
      <c r="A743" s="1" t="s">
        <v>2295</v>
      </c>
      <c r="B743" s="1" t="s">
        <v>876</v>
      </c>
      <c r="C743" s="1"/>
      <c r="D743" s="1" t="s">
        <v>944</v>
      </c>
      <c r="E743" s="1" t="s">
        <v>66</v>
      </c>
      <c r="F743" s="1" t="s">
        <v>32</v>
      </c>
      <c r="G743" s="1" t="s">
        <v>2719</v>
      </c>
      <c r="H743" s="18"/>
    </row>
    <row r="744" spans="1:8">
      <c r="A744" s="1" t="s">
        <v>2296</v>
      </c>
      <c r="B744" s="1" t="s">
        <v>876</v>
      </c>
      <c r="C744" s="1"/>
      <c r="D744" s="1" t="s">
        <v>1137</v>
      </c>
      <c r="E744" s="1" t="s">
        <v>890</v>
      </c>
      <c r="F744" s="1" t="s">
        <v>32</v>
      </c>
      <c r="G744" s="1" t="s">
        <v>2722</v>
      </c>
      <c r="H744" s="18"/>
    </row>
    <row r="745" spans="1:8">
      <c r="A745" s="1" t="s">
        <v>2297</v>
      </c>
      <c r="B745" s="1" t="s">
        <v>876</v>
      </c>
      <c r="C745" s="1"/>
      <c r="D745" s="1" t="s">
        <v>1322</v>
      </c>
      <c r="E745" s="1" t="s">
        <v>890</v>
      </c>
      <c r="F745" s="1" t="s">
        <v>32</v>
      </c>
      <c r="G745" s="1" t="s">
        <v>2722</v>
      </c>
      <c r="H745" s="18"/>
    </row>
    <row r="746" spans="1:8">
      <c r="A746" s="1" t="s">
        <v>2298</v>
      </c>
      <c r="B746" s="1" t="s">
        <v>876</v>
      </c>
      <c r="C746" s="1"/>
      <c r="D746" s="1" t="s">
        <v>1174</v>
      </c>
      <c r="E746" s="1" t="s">
        <v>880</v>
      </c>
      <c r="F746" s="1" t="s">
        <v>32</v>
      </c>
      <c r="G746" s="1" t="s">
        <v>2720</v>
      </c>
      <c r="H746" s="18"/>
    </row>
    <row r="747" spans="1:8">
      <c r="A747" s="1" t="s">
        <v>2299</v>
      </c>
      <c r="B747" s="1" t="s">
        <v>876</v>
      </c>
      <c r="C747" s="1"/>
      <c r="D747" s="1" t="s">
        <v>1139</v>
      </c>
      <c r="E747" s="1" t="s">
        <v>66</v>
      </c>
      <c r="F747" s="1" t="s">
        <v>32</v>
      </c>
      <c r="G747" s="1" t="s">
        <v>2719</v>
      </c>
      <c r="H747" s="18"/>
    </row>
    <row r="748" spans="1:8">
      <c r="A748" s="1" t="s">
        <v>2300</v>
      </c>
      <c r="B748" s="1" t="s">
        <v>876</v>
      </c>
      <c r="C748" s="1"/>
      <c r="D748" s="1" t="s">
        <v>1204</v>
      </c>
      <c r="E748" s="1" t="s">
        <v>880</v>
      </c>
      <c r="F748" s="1" t="s">
        <v>32</v>
      </c>
      <c r="G748" s="1" t="s">
        <v>2720</v>
      </c>
      <c r="H748" s="18"/>
    </row>
    <row r="749" spans="1:8">
      <c r="A749" s="1" t="s">
        <v>2301</v>
      </c>
      <c r="B749" s="1" t="s">
        <v>876</v>
      </c>
      <c r="C749" s="1"/>
      <c r="D749" s="1" t="s">
        <v>1544</v>
      </c>
      <c r="E749" s="1" t="s">
        <v>31</v>
      </c>
      <c r="F749" s="1" t="s">
        <v>32</v>
      </c>
      <c r="G749" s="1" t="s">
        <v>2721</v>
      </c>
      <c r="H749" s="18"/>
    </row>
    <row r="750" spans="1:8">
      <c r="A750" s="1" t="s">
        <v>2302</v>
      </c>
      <c r="B750" s="1" t="s">
        <v>876</v>
      </c>
      <c r="C750" s="1"/>
      <c r="D750" s="1" t="s">
        <v>894</v>
      </c>
      <c r="E750" s="1" t="s">
        <v>66</v>
      </c>
      <c r="F750" s="1" t="s">
        <v>32</v>
      </c>
      <c r="G750" s="1" t="s">
        <v>2719</v>
      </c>
      <c r="H750" s="18"/>
    </row>
    <row r="751" spans="1:8">
      <c r="A751" s="1" t="s">
        <v>2303</v>
      </c>
      <c r="B751" s="1" t="s">
        <v>876</v>
      </c>
      <c r="C751" s="1"/>
      <c r="D751" s="1" t="s">
        <v>1568</v>
      </c>
      <c r="E751" s="1" t="s">
        <v>36</v>
      </c>
      <c r="F751" s="1" t="s">
        <v>32</v>
      </c>
      <c r="G751" s="1" t="s">
        <v>2731</v>
      </c>
      <c r="H751" s="18"/>
    </row>
    <row r="752" spans="1:8">
      <c r="A752" s="1" t="s">
        <v>2304</v>
      </c>
      <c r="B752" s="1" t="s">
        <v>876</v>
      </c>
      <c r="C752" s="1"/>
      <c r="D752" s="1" t="s">
        <v>886</v>
      </c>
      <c r="E752" s="1" t="s">
        <v>880</v>
      </c>
      <c r="F752" s="1" t="s">
        <v>32</v>
      </c>
      <c r="G752" s="1" t="s">
        <v>2720</v>
      </c>
      <c r="H752" s="18"/>
    </row>
    <row r="753" spans="1:8">
      <c r="A753" s="1" t="s">
        <v>2305</v>
      </c>
      <c r="B753" s="1" t="s">
        <v>876</v>
      </c>
      <c r="C753" s="1"/>
      <c r="D753" s="1" t="s">
        <v>1483</v>
      </c>
      <c r="E753" s="1" t="s">
        <v>880</v>
      </c>
      <c r="F753" s="1" t="s">
        <v>32</v>
      </c>
      <c r="G753" s="1" t="s">
        <v>2720</v>
      </c>
      <c r="H753" s="18"/>
    </row>
    <row r="754" spans="1:8">
      <c r="A754" s="1" t="s">
        <v>2306</v>
      </c>
      <c r="B754" s="1" t="s">
        <v>876</v>
      </c>
      <c r="C754" s="1"/>
      <c r="D754" s="1" t="s">
        <v>1569</v>
      </c>
      <c r="E754" s="1" t="s">
        <v>930</v>
      </c>
      <c r="F754" s="1" t="s">
        <v>32</v>
      </c>
      <c r="G754" s="1" t="s">
        <v>2723</v>
      </c>
      <c r="H754" s="18"/>
    </row>
    <row r="755" spans="1:8">
      <c r="A755" s="1" t="s">
        <v>2307</v>
      </c>
      <c r="B755" s="1" t="s">
        <v>876</v>
      </c>
      <c r="C755" s="1"/>
      <c r="D755" s="1" t="s">
        <v>1565</v>
      </c>
      <c r="E755" s="1" t="s">
        <v>880</v>
      </c>
      <c r="F755" s="1" t="s">
        <v>32</v>
      </c>
      <c r="G755" s="1" t="s">
        <v>2720</v>
      </c>
      <c r="H755" s="18"/>
    </row>
    <row r="756" spans="1:8">
      <c r="A756" s="1" t="s">
        <v>2308</v>
      </c>
      <c r="B756" s="1" t="s">
        <v>876</v>
      </c>
      <c r="C756" s="1"/>
      <c r="D756" s="1" t="s">
        <v>1191</v>
      </c>
      <c r="E756" s="1" t="s">
        <v>66</v>
      </c>
      <c r="F756" s="1" t="s">
        <v>32</v>
      </c>
      <c r="G756" s="1" t="s">
        <v>2719</v>
      </c>
      <c r="H756" s="18"/>
    </row>
    <row r="757" spans="1:8">
      <c r="A757" s="1" t="s">
        <v>2309</v>
      </c>
      <c r="B757" s="1" t="s">
        <v>876</v>
      </c>
      <c r="C757" s="1"/>
      <c r="D757" s="1" t="s">
        <v>1460</v>
      </c>
      <c r="E757" s="1" t="s">
        <v>890</v>
      </c>
      <c r="F757" s="1" t="s">
        <v>32</v>
      </c>
      <c r="G757" s="1" t="s">
        <v>2722</v>
      </c>
      <c r="H757" s="18"/>
    </row>
    <row r="758" spans="1:8">
      <c r="A758" s="1" t="s">
        <v>2310</v>
      </c>
      <c r="B758" s="1" t="s">
        <v>876</v>
      </c>
      <c r="C758" s="1"/>
      <c r="D758" s="1" t="s">
        <v>1525</v>
      </c>
      <c r="E758" s="1" t="s">
        <v>890</v>
      </c>
      <c r="F758" s="1" t="s">
        <v>32</v>
      </c>
      <c r="G758" s="1" t="s">
        <v>2722</v>
      </c>
      <c r="H758" s="18"/>
    </row>
    <row r="759" spans="1:8">
      <c r="A759" s="1" t="s">
        <v>2311</v>
      </c>
      <c r="B759" s="1" t="s">
        <v>876</v>
      </c>
      <c r="C759" s="1"/>
      <c r="D759" s="1" t="s">
        <v>1406</v>
      </c>
      <c r="E759" s="1" t="s">
        <v>880</v>
      </c>
      <c r="F759" s="1" t="s">
        <v>32</v>
      </c>
      <c r="G759" s="1" t="s">
        <v>2720</v>
      </c>
      <c r="H759" s="18"/>
    </row>
    <row r="760" spans="1:8">
      <c r="A760" s="1" t="s">
        <v>2312</v>
      </c>
      <c r="B760" s="1" t="s">
        <v>876</v>
      </c>
      <c r="C760" s="1"/>
      <c r="D760" s="1" t="s">
        <v>1536</v>
      </c>
      <c r="E760" s="1" t="s">
        <v>66</v>
      </c>
      <c r="F760" s="1" t="s">
        <v>32</v>
      </c>
      <c r="G760" s="1" t="s">
        <v>2719</v>
      </c>
      <c r="H760" s="18"/>
    </row>
    <row r="761" spans="1:8">
      <c r="A761" s="1" t="s">
        <v>2313</v>
      </c>
      <c r="B761" s="1" t="s">
        <v>876</v>
      </c>
      <c r="C761" s="1"/>
      <c r="D761" s="1" t="s">
        <v>1570</v>
      </c>
      <c r="E761" s="1" t="s">
        <v>940</v>
      </c>
      <c r="F761" s="1" t="s">
        <v>32</v>
      </c>
      <c r="G761" s="1" t="s">
        <v>2724</v>
      </c>
      <c r="H761" s="18"/>
    </row>
    <row r="762" spans="1:8">
      <c r="A762" s="1" t="s">
        <v>2314</v>
      </c>
      <c r="B762" s="1" t="s">
        <v>876</v>
      </c>
      <c r="C762" s="1"/>
      <c r="D762" s="1" t="s">
        <v>912</v>
      </c>
      <c r="E762" s="1" t="s">
        <v>880</v>
      </c>
      <c r="F762" s="1" t="s">
        <v>32</v>
      </c>
      <c r="G762" s="1" t="s">
        <v>2720</v>
      </c>
      <c r="H762" s="18"/>
    </row>
    <row r="763" spans="1:8">
      <c r="A763" s="1" t="s">
        <v>2315</v>
      </c>
      <c r="B763" s="1" t="s">
        <v>876</v>
      </c>
      <c r="C763" s="1"/>
      <c r="D763" s="1" t="s">
        <v>1109</v>
      </c>
      <c r="E763" s="1" t="s">
        <v>880</v>
      </c>
      <c r="F763" s="1" t="s">
        <v>32</v>
      </c>
      <c r="G763" s="1" t="s">
        <v>2720</v>
      </c>
      <c r="H763" s="18"/>
    </row>
    <row r="764" spans="1:8">
      <c r="A764" s="1" t="s">
        <v>2316</v>
      </c>
      <c r="B764" s="1" t="s">
        <v>876</v>
      </c>
      <c r="C764" s="1"/>
      <c r="D764" s="1" t="s">
        <v>956</v>
      </c>
      <c r="E764" s="1" t="s">
        <v>66</v>
      </c>
      <c r="F764" s="1" t="s">
        <v>32</v>
      </c>
      <c r="G764" s="1" t="s">
        <v>2719</v>
      </c>
      <c r="H764" s="18"/>
    </row>
    <row r="765" spans="1:8">
      <c r="A765" s="1" t="s">
        <v>2317</v>
      </c>
      <c r="B765" s="1" t="s">
        <v>876</v>
      </c>
      <c r="C765" s="1"/>
      <c r="D765" s="1" t="s">
        <v>1555</v>
      </c>
      <c r="E765" s="1" t="s">
        <v>880</v>
      </c>
      <c r="F765" s="1" t="s">
        <v>32</v>
      </c>
      <c r="G765" s="1" t="s">
        <v>2720</v>
      </c>
      <c r="H765" s="18"/>
    </row>
    <row r="766" spans="1:8">
      <c r="A766" s="1" t="s">
        <v>2318</v>
      </c>
      <c r="B766" s="1" t="s">
        <v>876</v>
      </c>
      <c r="C766" s="1"/>
      <c r="D766" s="1" t="s">
        <v>1571</v>
      </c>
      <c r="E766" s="1" t="s">
        <v>940</v>
      </c>
      <c r="F766" s="1" t="s">
        <v>32</v>
      </c>
      <c r="G766" s="1" t="s">
        <v>2724</v>
      </c>
      <c r="H766" s="18"/>
    </row>
    <row r="767" spans="1:8">
      <c r="A767" s="1" t="s">
        <v>2319</v>
      </c>
      <c r="B767" s="1" t="s">
        <v>876</v>
      </c>
      <c r="C767" s="1"/>
      <c r="D767" s="1" t="s">
        <v>1572</v>
      </c>
      <c r="E767" s="1" t="s">
        <v>36</v>
      </c>
      <c r="F767" s="1" t="s">
        <v>32</v>
      </c>
      <c r="G767" s="1" t="s">
        <v>2731</v>
      </c>
      <c r="H767" s="17"/>
    </row>
    <row r="768" spans="1:8">
      <c r="A768" s="1" t="s">
        <v>2320</v>
      </c>
      <c r="B768" s="1" t="s">
        <v>876</v>
      </c>
      <c r="C768" s="1"/>
      <c r="D768" s="1" t="s">
        <v>1545</v>
      </c>
      <c r="E768" s="1" t="s">
        <v>66</v>
      </c>
      <c r="F768" s="1" t="s">
        <v>32</v>
      </c>
      <c r="G768" s="1" t="s">
        <v>2719</v>
      </c>
      <c r="H768" s="18"/>
    </row>
    <row r="769" spans="1:8">
      <c r="A769" s="1" t="s">
        <v>2321</v>
      </c>
      <c r="B769" s="1" t="s">
        <v>876</v>
      </c>
      <c r="C769" s="1"/>
      <c r="D769" s="1" t="s">
        <v>1573</v>
      </c>
      <c r="E769" s="1" t="s">
        <v>940</v>
      </c>
      <c r="F769" s="1" t="s">
        <v>32</v>
      </c>
      <c r="G769" s="1" t="s">
        <v>2724</v>
      </c>
      <c r="H769" s="18"/>
    </row>
    <row r="770" spans="1:8">
      <c r="A770" s="1" t="s">
        <v>2322</v>
      </c>
      <c r="B770" s="1" t="s">
        <v>876</v>
      </c>
      <c r="C770" s="1"/>
      <c r="D770" s="1" t="s">
        <v>1574</v>
      </c>
      <c r="E770" s="1" t="s">
        <v>42</v>
      </c>
      <c r="F770" s="1" t="s">
        <v>32</v>
      </c>
      <c r="G770" s="1" t="s">
        <v>2716</v>
      </c>
      <c r="H770" s="18"/>
    </row>
    <row r="771" spans="1:8">
      <c r="A771" s="1" t="s">
        <v>2323</v>
      </c>
      <c r="B771" s="1" t="s">
        <v>876</v>
      </c>
      <c r="C771" s="1"/>
      <c r="D771" s="1" t="s">
        <v>1575</v>
      </c>
      <c r="E771" s="1" t="s">
        <v>940</v>
      </c>
      <c r="F771" s="1" t="s">
        <v>32</v>
      </c>
      <c r="G771" s="1" t="s">
        <v>2724</v>
      </c>
      <c r="H771" s="18"/>
    </row>
    <row r="772" spans="1:8">
      <c r="A772" s="1" t="s">
        <v>2324</v>
      </c>
      <c r="B772" s="1" t="s">
        <v>876</v>
      </c>
      <c r="C772" s="1"/>
      <c r="D772" s="1" t="s">
        <v>1195</v>
      </c>
      <c r="E772" s="1" t="s">
        <v>66</v>
      </c>
      <c r="F772" s="1" t="s">
        <v>32</v>
      </c>
      <c r="G772" s="1" t="s">
        <v>2719</v>
      </c>
      <c r="H772" s="18"/>
    </row>
    <row r="773" spans="1:8">
      <c r="A773" s="1" t="s">
        <v>2325</v>
      </c>
      <c r="B773" s="1" t="s">
        <v>876</v>
      </c>
      <c r="C773" s="1"/>
      <c r="D773" s="1" t="s">
        <v>1116</v>
      </c>
      <c r="E773" s="1" t="s">
        <v>880</v>
      </c>
      <c r="F773" s="1" t="s">
        <v>32</v>
      </c>
      <c r="G773" s="1" t="s">
        <v>2720</v>
      </c>
      <c r="H773" s="18"/>
    </row>
    <row r="774" spans="1:8">
      <c r="A774" s="1" t="s">
        <v>2326</v>
      </c>
      <c r="B774" s="1" t="s">
        <v>876</v>
      </c>
      <c r="C774" s="1"/>
      <c r="D774" s="1" t="s">
        <v>1079</v>
      </c>
      <c r="E774" s="1" t="s">
        <v>880</v>
      </c>
      <c r="F774" s="1" t="s">
        <v>32</v>
      </c>
      <c r="G774" s="1" t="s">
        <v>2720</v>
      </c>
      <c r="H774" s="18"/>
    </row>
    <row r="775" spans="1:8">
      <c r="A775" s="1" t="s">
        <v>2327</v>
      </c>
      <c r="B775" s="1" t="s">
        <v>876</v>
      </c>
      <c r="C775" s="1"/>
      <c r="D775" s="1" t="s">
        <v>1157</v>
      </c>
      <c r="E775" s="1" t="s">
        <v>880</v>
      </c>
      <c r="F775" s="1" t="s">
        <v>32</v>
      </c>
      <c r="G775" s="1" t="s">
        <v>2720</v>
      </c>
      <c r="H775" s="18"/>
    </row>
    <row r="776" spans="1:8">
      <c r="A776" s="1" t="s">
        <v>2328</v>
      </c>
      <c r="B776" s="1" t="s">
        <v>876</v>
      </c>
      <c r="C776" s="1"/>
      <c r="D776" s="1" t="s">
        <v>1576</v>
      </c>
      <c r="E776" s="1" t="s">
        <v>1015</v>
      </c>
      <c r="F776" s="1" t="s">
        <v>32</v>
      </c>
      <c r="G776" s="1" t="s">
        <v>2726</v>
      </c>
      <c r="H776" s="18"/>
    </row>
    <row r="777" spans="1:8">
      <c r="A777" s="1" t="s">
        <v>2329</v>
      </c>
      <c r="B777" s="1" t="s">
        <v>876</v>
      </c>
      <c r="C777" s="1"/>
      <c r="D777" s="1" t="s">
        <v>1076</v>
      </c>
      <c r="E777" s="1" t="s">
        <v>890</v>
      </c>
      <c r="F777" s="1" t="s">
        <v>32</v>
      </c>
      <c r="G777" s="1" t="s">
        <v>2722</v>
      </c>
      <c r="H777" s="18"/>
    </row>
    <row r="778" spans="1:8">
      <c r="A778" s="1" t="s">
        <v>2330</v>
      </c>
      <c r="B778" s="1" t="s">
        <v>876</v>
      </c>
      <c r="C778" s="1"/>
      <c r="D778" s="1" t="s">
        <v>1544</v>
      </c>
      <c r="E778" s="1" t="s">
        <v>880</v>
      </c>
      <c r="F778" s="1" t="s">
        <v>32</v>
      </c>
      <c r="G778" s="1" t="s">
        <v>2720</v>
      </c>
      <c r="H778" s="17"/>
    </row>
    <row r="779" spans="1:8">
      <c r="A779" s="1" t="s">
        <v>2331</v>
      </c>
      <c r="B779" s="1" t="s">
        <v>876</v>
      </c>
      <c r="C779" s="1"/>
      <c r="D779" s="1" t="s">
        <v>1531</v>
      </c>
      <c r="E779" s="1" t="s">
        <v>880</v>
      </c>
      <c r="F779" s="1" t="s">
        <v>32</v>
      </c>
      <c r="G779" s="1" t="s">
        <v>2720</v>
      </c>
      <c r="H779" s="18"/>
    </row>
    <row r="780" spans="1:8">
      <c r="A780" s="1" t="s">
        <v>2332</v>
      </c>
      <c r="B780" s="1" t="s">
        <v>876</v>
      </c>
      <c r="C780" s="1"/>
      <c r="D780" s="1" t="s">
        <v>1578</v>
      </c>
      <c r="E780" s="1" t="s">
        <v>930</v>
      </c>
      <c r="F780" s="1" t="s">
        <v>32</v>
      </c>
      <c r="G780" s="1" t="s">
        <v>2723</v>
      </c>
      <c r="H780" s="18"/>
    </row>
    <row r="781" spans="1:8">
      <c r="A781" s="1" t="s">
        <v>2333</v>
      </c>
      <c r="B781" s="1" t="s">
        <v>876</v>
      </c>
      <c r="C781" s="1"/>
      <c r="D781" s="1" t="s">
        <v>1093</v>
      </c>
      <c r="E781" s="1" t="s">
        <v>66</v>
      </c>
      <c r="F781" s="1" t="s">
        <v>32</v>
      </c>
      <c r="G781" s="1" t="s">
        <v>2719</v>
      </c>
      <c r="H781" s="18"/>
    </row>
    <row r="782" spans="1:8">
      <c r="A782" s="1" t="s">
        <v>2334</v>
      </c>
      <c r="B782" s="1" t="s">
        <v>876</v>
      </c>
      <c r="C782" s="1"/>
      <c r="D782" s="1" t="s">
        <v>1095</v>
      </c>
      <c r="E782" s="1" t="s">
        <v>880</v>
      </c>
      <c r="F782" s="1" t="s">
        <v>32</v>
      </c>
      <c r="G782" s="1" t="s">
        <v>2720</v>
      </c>
      <c r="H782" s="18"/>
    </row>
    <row r="783" spans="1:8">
      <c r="A783" s="1" t="s">
        <v>2335</v>
      </c>
      <c r="B783" s="1" t="s">
        <v>876</v>
      </c>
      <c r="C783" s="1"/>
      <c r="D783" s="1" t="s">
        <v>1541</v>
      </c>
      <c r="E783" s="1" t="s">
        <v>66</v>
      </c>
      <c r="F783" s="1" t="s">
        <v>32</v>
      </c>
      <c r="G783" s="1" t="s">
        <v>2719</v>
      </c>
      <c r="H783" s="18"/>
    </row>
    <row r="784" spans="1:8">
      <c r="A784" s="1" t="s">
        <v>2336</v>
      </c>
      <c r="B784" s="1" t="s">
        <v>876</v>
      </c>
      <c r="C784" s="1"/>
      <c r="D784" s="1" t="s">
        <v>1422</v>
      </c>
      <c r="E784" s="1" t="s">
        <v>880</v>
      </c>
      <c r="F784" s="1" t="s">
        <v>32</v>
      </c>
      <c r="G784" s="1" t="s">
        <v>2720</v>
      </c>
      <c r="H784" s="18"/>
    </row>
    <row r="785" spans="1:26">
      <c r="A785" s="1" t="s">
        <v>2337</v>
      </c>
      <c r="B785" s="1" t="s">
        <v>876</v>
      </c>
      <c r="C785" s="1"/>
      <c r="D785" s="1" t="s">
        <v>1527</v>
      </c>
      <c r="E785" s="1" t="s">
        <v>66</v>
      </c>
      <c r="F785" s="1" t="s">
        <v>32</v>
      </c>
      <c r="G785" s="1" t="s">
        <v>2719</v>
      </c>
      <c r="H785" s="18"/>
    </row>
    <row r="786" spans="1:26">
      <c r="A786" s="1" t="s">
        <v>2338</v>
      </c>
      <c r="B786" s="1" t="s">
        <v>876</v>
      </c>
      <c r="C786" s="1"/>
      <c r="D786" s="1" t="s">
        <v>1532</v>
      </c>
      <c r="E786" s="1" t="s">
        <v>66</v>
      </c>
      <c r="F786" s="1" t="s">
        <v>32</v>
      </c>
      <c r="G786" s="1" t="s">
        <v>2719</v>
      </c>
      <c r="H786" s="18"/>
    </row>
    <row r="787" spans="1:26">
      <c r="A787" s="1" t="s">
        <v>2339</v>
      </c>
      <c r="B787" s="1" t="s">
        <v>876</v>
      </c>
      <c r="C787" s="1"/>
      <c r="D787" s="1" t="s">
        <v>1030</v>
      </c>
      <c r="E787" s="1" t="s">
        <v>66</v>
      </c>
      <c r="F787" s="1" t="s">
        <v>32</v>
      </c>
      <c r="G787" s="1" t="s">
        <v>2719</v>
      </c>
      <c r="H787" s="18"/>
    </row>
    <row r="788" spans="1:26">
      <c r="A788" s="1" t="s">
        <v>2340</v>
      </c>
      <c r="B788" s="1" t="s">
        <v>876</v>
      </c>
      <c r="C788" s="1"/>
      <c r="D788" s="1" t="s">
        <v>1100</v>
      </c>
      <c r="E788" s="1" t="s">
        <v>880</v>
      </c>
      <c r="F788" s="1" t="s">
        <v>32</v>
      </c>
      <c r="G788" s="1" t="s">
        <v>2720</v>
      </c>
      <c r="H788" s="18"/>
    </row>
    <row r="789" spans="1:26">
      <c r="A789" s="1" t="s">
        <v>2341</v>
      </c>
      <c r="B789" s="1" t="s">
        <v>876</v>
      </c>
      <c r="C789" s="1"/>
      <c r="D789" s="1" t="s">
        <v>1159</v>
      </c>
      <c r="E789" s="1" t="s">
        <v>880</v>
      </c>
      <c r="F789" s="1" t="s">
        <v>32</v>
      </c>
      <c r="G789" s="1" t="s">
        <v>2720</v>
      </c>
      <c r="H789" s="18"/>
    </row>
    <row r="790" spans="1:26">
      <c r="A790" s="1" t="s">
        <v>2342</v>
      </c>
      <c r="B790" s="1" t="s">
        <v>876</v>
      </c>
      <c r="C790" s="1"/>
      <c r="D790" s="1" t="s">
        <v>1551</v>
      </c>
      <c r="E790" s="1" t="s">
        <v>66</v>
      </c>
      <c r="F790" s="1" t="s">
        <v>32</v>
      </c>
      <c r="G790" s="1" t="s">
        <v>2719</v>
      </c>
      <c r="H790" s="18"/>
    </row>
    <row r="791" spans="1:26">
      <c r="A791" s="1" t="s">
        <v>2343</v>
      </c>
      <c r="B791" s="1" t="s">
        <v>876</v>
      </c>
      <c r="C791" s="1"/>
      <c r="D791" s="1" t="s">
        <v>1267</v>
      </c>
      <c r="E791" s="1" t="s">
        <v>66</v>
      </c>
      <c r="F791" s="1" t="s">
        <v>32</v>
      </c>
      <c r="G791" s="1" t="s">
        <v>2719</v>
      </c>
      <c r="H791" s="18"/>
    </row>
    <row r="792" spans="1:26">
      <c r="A792" s="1" t="s">
        <v>2344</v>
      </c>
      <c r="B792" s="1" t="s">
        <v>876</v>
      </c>
      <c r="C792" s="1"/>
      <c r="D792" s="1" t="s">
        <v>1533</v>
      </c>
      <c r="E792" s="1" t="s">
        <v>66</v>
      </c>
      <c r="F792" s="1" t="s">
        <v>32</v>
      </c>
      <c r="G792" s="1" t="s">
        <v>2719</v>
      </c>
      <c r="H792" s="18"/>
    </row>
    <row r="793" spans="1:26">
      <c r="A793" s="1" t="s">
        <v>2345</v>
      </c>
      <c r="B793" s="1" t="s">
        <v>876</v>
      </c>
      <c r="C793" s="1"/>
      <c r="D793" s="1" t="s">
        <v>1133</v>
      </c>
      <c r="E793" s="1" t="s">
        <v>31</v>
      </c>
      <c r="F793" s="1" t="s">
        <v>32</v>
      </c>
      <c r="G793" s="1" t="s">
        <v>2721</v>
      </c>
      <c r="H793" s="18"/>
    </row>
    <row r="794" spans="1:26">
      <c r="A794" s="1" t="s">
        <v>2346</v>
      </c>
      <c r="B794" s="1" t="s">
        <v>876</v>
      </c>
      <c r="C794" s="1"/>
      <c r="D794" s="1" t="s">
        <v>1111</v>
      </c>
      <c r="E794" s="1" t="s">
        <v>31</v>
      </c>
      <c r="F794" s="1" t="s">
        <v>32</v>
      </c>
      <c r="G794" s="1" t="s">
        <v>2721</v>
      </c>
      <c r="H794" s="18"/>
    </row>
    <row r="795" spans="1:26">
      <c r="A795" s="1" t="s">
        <v>2347</v>
      </c>
      <c r="B795" s="1" t="s">
        <v>876</v>
      </c>
      <c r="C795" s="1"/>
      <c r="D795" s="1" t="s">
        <v>1534</v>
      </c>
      <c r="E795" s="1" t="s">
        <v>880</v>
      </c>
      <c r="F795" s="1" t="s">
        <v>32</v>
      </c>
      <c r="G795" s="1" t="s">
        <v>2720</v>
      </c>
      <c r="H795" s="18"/>
    </row>
    <row r="796" spans="1:26">
      <c r="A796" s="1" t="s">
        <v>2348</v>
      </c>
      <c r="B796" s="1" t="s">
        <v>876</v>
      </c>
      <c r="C796" s="1"/>
      <c r="D796" s="1" t="s">
        <v>1507</v>
      </c>
      <c r="E796" s="1" t="s">
        <v>890</v>
      </c>
      <c r="F796" s="1" t="s">
        <v>32</v>
      </c>
      <c r="G796" s="1" t="s">
        <v>2722</v>
      </c>
      <c r="H796" s="18"/>
    </row>
    <row r="797" spans="1:26" s="2" customFormat="1">
      <c r="A797" s="1" t="s">
        <v>2349</v>
      </c>
      <c r="B797" s="1" t="s">
        <v>876</v>
      </c>
      <c r="C797" s="1"/>
      <c r="D797" s="1" t="s">
        <v>1189</v>
      </c>
      <c r="E797" s="1" t="s">
        <v>890</v>
      </c>
      <c r="F797" s="1" t="s">
        <v>32</v>
      </c>
      <c r="G797" s="1" t="s">
        <v>2722</v>
      </c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>
      <c r="A798" s="1" t="s">
        <v>2350</v>
      </c>
      <c r="B798" s="1" t="s">
        <v>876</v>
      </c>
      <c r="C798" s="1"/>
      <c r="D798" s="1" t="s">
        <v>1184</v>
      </c>
      <c r="E798" s="1" t="s">
        <v>66</v>
      </c>
      <c r="F798" s="1" t="s">
        <v>32</v>
      </c>
      <c r="G798" s="1" t="s">
        <v>2719</v>
      </c>
      <c r="H798" s="18"/>
    </row>
    <row r="799" spans="1:26">
      <c r="A799" s="1" t="s">
        <v>2351</v>
      </c>
      <c r="B799" s="1" t="s">
        <v>876</v>
      </c>
      <c r="C799" s="1"/>
      <c r="D799" s="1" t="s">
        <v>1272</v>
      </c>
      <c r="E799" s="1" t="s">
        <v>890</v>
      </c>
      <c r="F799" s="1" t="s">
        <v>32</v>
      </c>
      <c r="G799" s="1" t="s">
        <v>2722</v>
      </c>
      <c r="H799" s="18"/>
    </row>
    <row r="800" spans="1:26">
      <c r="A800" s="1" t="s">
        <v>2352</v>
      </c>
      <c r="B800" s="1" t="s">
        <v>876</v>
      </c>
      <c r="C800" s="1"/>
      <c r="D800" s="1" t="s">
        <v>1518</v>
      </c>
      <c r="E800" s="1" t="s">
        <v>66</v>
      </c>
      <c r="F800" s="1" t="s">
        <v>32</v>
      </c>
      <c r="G800" s="1" t="s">
        <v>2719</v>
      </c>
      <c r="H800" s="18"/>
    </row>
    <row r="801" spans="1:26">
      <c r="A801" s="1" t="s">
        <v>2353</v>
      </c>
      <c r="B801" s="1" t="s">
        <v>876</v>
      </c>
      <c r="C801" s="1"/>
      <c r="D801" s="1" t="s">
        <v>1169</v>
      </c>
      <c r="E801" s="1" t="s">
        <v>66</v>
      </c>
      <c r="F801" s="1" t="s">
        <v>32</v>
      </c>
      <c r="G801" s="1" t="s">
        <v>2719</v>
      </c>
      <c r="H801" s="18"/>
    </row>
    <row r="802" spans="1:26">
      <c r="A802" s="1" t="s">
        <v>2354</v>
      </c>
      <c r="B802" s="1" t="s">
        <v>876</v>
      </c>
      <c r="C802" s="1"/>
      <c r="D802" s="1" t="s">
        <v>1111</v>
      </c>
      <c r="E802" s="1" t="s">
        <v>880</v>
      </c>
      <c r="F802" s="1" t="s">
        <v>32</v>
      </c>
      <c r="G802" s="1" t="s">
        <v>2720</v>
      </c>
      <c r="H802" s="18"/>
    </row>
    <row r="803" spans="1:26">
      <c r="A803" s="1" t="s">
        <v>2355</v>
      </c>
      <c r="B803" s="1" t="s">
        <v>876</v>
      </c>
      <c r="C803" s="1"/>
      <c r="D803" s="1" t="s">
        <v>1131</v>
      </c>
      <c r="E803" s="1" t="s">
        <v>66</v>
      </c>
      <c r="F803" s="1" t="s">
        <v>32</v>
      </c>
      <c r="G803" s="1" t="s">
        <v>2719</v>
      </c>
      <c r="H803" s="18"/>
    </row>
    <row r="804" spans="1:26">
      <c r="A804" s="1" t="s">
        <v>2356</v>
      </c>
      <c r="B804" s="1" t="s">
        <v>876</v>
      </c>
      <c r="C804" s="1"/>
      <c r="D804" s="1" t="s">
        <v>1236</v>
      </c>
      <c r="E804" s="1" t="s">
        <v>890</v>
      </c>
      <c r="F804" s="1" t="s">
        <v>32</v>
      </c>
      <c r="G804" s="1" t="s">
        <v>2722</v>
      </c>
      <c r="H804" s="18"/>
    </row>
    <row r="805" spans="1:26">
      <c r="A805" s="1" t="s">
        <v>2357</v>
      </c>
      <c r="B805" s="1" t="s">
        <v>876</v>
      </c>
      <c r="C805" s="1"/>
      <c r="D805" s="1" t="s">
        <v>1133</v>
      </c>
      <c r="E805" s="1" t="s">
        <v>880</v>
      </c>
      <c r="F805" s="1" t="s">
        <v>32</v>
      </c>
      <c r="G805" s="1" t="s">
        <v>2720</v>
      </c>
      <c r="H805" s="18"/>
    </row>
    <row r="806" spans="1:26">
      <c r="A806" s="1" t="s">
        <v>2358</v>
      </c>
      <c r="B806" s="1" t="s">
        <v>876</v>
      </c>
      <c r="C806" s="1"/>
      <c r="D806" s="1" t="s">
        <v>1012</v>
      </c>
      <c r="E806" s="1" t="s">
        <v>890</v>
      </c>
      <c r="F806" s="1" t="s">
        <v>32</v>
      </c>
      <c r="G806" s="1" t="s">
        <v>2722</v>
      </c>
      <c r="H806" s="18"/>
    </row>
    <row r="807" spans="1:26">
      <c r="A807" s="1" t="s">
        <v>2359</v>
      </c>
      <c r="B807" s="1" t="s">
        <v>876</v>
      </c>
      <c r="C807" s="1"/>
      <c r="D807" s="1" t="s">
        <v>63</v>
      </c>
      <c r="E807" s="1" t="s">
        <v>42</v>
      </c>
      <c r="F807" s="1" t="s">
        <v>32</v>
      </c>
      <c r="G807" s="1" t="s">
        <v>2716</v>
      </c>
      <c r="H807" s="18"/>
    </row>
    <row r="808" spans="1:26">
      <c r="A808" s="1" t="s">
        <v>2360</v>
      </c>
      <c r="B808" s="1" t="s">
        <v>876</v>
      </c>
      <c r="C808" s="1"/>
      <c r="D808" s="1" t="s">
        <v>1209</v>
      </c>
      <c r="E808" s="1" t="s">
        <v>66</v>
      </c>
      <c r="F808" s="1" t="s">
        <v>32</v>
      </c>
      <c r="G808" s="1" t="s">
        <v>2719</v>
      </c>
      <c r="H808" s="18"/>
    </row>
    <row r="809" spans="1:26">
      <c r="A809" s="1" t="s">
        <v>2361</v>
      </c>
      <c r="B809" s="1" t="s">
        <v>876</v>
      </c>
      <c r="C809" s="1"/>
      <c r="D809" s="1" t="s">
        <v>1579</v>
      </c>
      <c r="E809" s="1" t="s">
        <v>940</v>
      </c>
      <c r="F809" s="1" t="s">
        <v>32</v>
      </c>
      <c r="G809" s="1" t="s">
        <v>2724</v>
      </c>
      <c r="H809" s="18"/>
    </row>
    <row r="810" spans="1:26">
      <c r="A810" s="1" t="s">
        <v>2362</v>
      </c>
      <c r="B810" s="1" t="s">
        <v>876</v>
      </c>
      <c r="C810" s="1"/>
      <c r="D810" s="1" t="s">
        <v>1580</v>
      </c>
      <c r="E810" s="1" t="s">
        <v>880</v>
      </c>
      <c r="F810" s="1" t="s">
        <v>32</v>
      </c>
      <c r="G810" s="1" t="s">
        <v>2720</v>
      </c>
      <c r="H810" s="18"/>
    </row>
    <row r="811" spans="1:26">
      <c r="A811" s="1" t="s">
        <v>2363</v>
      </c>
      <c r="B811" s="1" t="s">
        <v>876</v>
      </c>
      <c r="C811" s="1"/>
      <c r="D811" s="1" t="s">
        <v>1539</v>
      </c>
      <c r="E811" s="1" t="s">
        <v>880</v>
      </c>
      <c r="F811" s="1" t="s">
        <v>32</v>
      </c>
      <c r="G811" s="1" t="s">
        <v>2720</v>
      </c>
      <c r="H811" s="18"/>
    </row>
    <row r="812" spans="1:26">
      <c r="A812" s="1" t="s">
        <v>2364</v>
      </c>
      <c r="B812" s="1" t="s">
        <v>876</v>
      </c>
      <c r="C812" s="1"/>
      <c r="D812" s="1" t="s">
        <v>1494</v>
      </c>
      <c r="E812" s="1" t="s">
        <v>66</v>
      </c>
      <c r="F812" s="1" t="s">
        <v>32</v>
      </c>
      <c r="G812" s="1" t="s">
        <v>2719</v>
      </c>
      <c r="H812" s="18"/>
    </row>
    <row r="813" spans="1:26">
      <c r="A813" s="1" t="s">
        <v>2365</v>
      </c>
      <c r="B813" s="1" t="s">
        <v>876</v>
      </c>
      <c r="C813" s="1"/>
      <c r="D813" s="1" t="s">
        <v>1581</v>
      </c>
      <c r="E813" s="1" t="s">
        <v>31</v>
      </c>
      <c r="F813" s="1" t="s">
        <v>32</v>
      </c>
      <c r="G813" s="1" t="s">
        <v>2721</v>
      </c>
      <c r="H813" s="18"/>
    </row>
    <row r="814" spans="1:26">
      <c r="A814" s="1" t="s">
        <v>2366</v>
      </c>
      <c r="B814" s="1" t="s">
        <v>1582</v>
      </c>
      <c r="C814" s="1"/>
      <c r="D814" s="1"/>
      <c r="E814" s="1" t="s">
        <v>1583</v>
      </c>
      <c r="F814" s="1" t="s">
        <v>32</v>
      </c>
      <c r="G814" s="1" t="s">
        <v>3128</v>
      </c>
      <c r="H814" s="18"/>
    </row>
    <row r="815" spans="1:26">
      <c r="A815" s="1" t="s">
        <v>2367</v>
      </c>
      <c r="B815" s="1" t="s">
        <v>1582</v>
      </c>
      <c r="C815" s="1"/>
      <c r="D815" s="1"/>
      <c r="E815" s="1" t="s">
        <v>880</v>
      </c>
      <c r="F815" s="1" t="s">
        <v>32</v>
      </c>
      <c r="G815" s="1" t="s">
        <v>2720</v>
      </c>
      <c r="H815" s="18"/>
    </row>
    <row r="816" spans="1:26" s="2" customFormat="1">
      <c r="A816" s="1" t="s">
        <v>2368</v>
      </c>
      <c r="B816" s="1" t="s">
        <v>1582</v>
      </c>
      <c r="C816" s="1"/>
      <c r="D816" s="1"/>
      <c r="E816" s="1" t="s">
        <v>807</v>
      </c>
      <c r="F816" s="1" t="s">
        <v>32</v>
      </c>
      <c r="G816" s="1" t="s">
        <v>3129</v>
      </c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8">
      <c r="A817" s="1" t="s">
        <v>2369</v>
      </c>
      <c r="B817" s="1" t="s">
        <v>1582</v>
      </c>
      <c r="C817" s="1"/>
      <c r="D817" s="1"/>
      <c r="E817" s="1" t="s">
        <v>1584</v>
      </c>
      <c r="F817" s="1" t="s">
        <v>32</v>
      </c>
      <c r="G817" s="1" t="s">
        <v>3130</v>
      </c>
      <c r="H817" s="18"/>
    </row>
    <row r="818" spans="1:8">
      <c r="A818" s="1" t="s">
        <v>2370</v>
      </c>
      <c r="B818" s="1" t="s">
        <v>1582</v>
      </c>
      <c r="C818" s="1"/>
      <c r="D818" s="1"/>
      <c r="E818" s="1" t="s">
        <v>48</v>
      </c>
      <c r="F818" s="1" t="s">
        <v>32</v>
      </c>
      <c r="G818" s="1" t="s">
        <v>2728</v>
      </c>
      <c r="H818" s="18"/>
    </row>
    <row r="819" spans="1:8">
      <c r="A819" s="1" t="s">
        <v>2371</v>
      </c>
      <c r="B819" s="1" t="s">
        <v>1582</v>
      </c>
      <c r="C819" s="1"/>
      <c r="D819" s="1"/>
      <c r="E819" s="1" t="s">
        <v>890</v>
      </c>
      <c r="F819" s="1" t="s">
        <v>32</v>
      </c>
      <c r="G819" s="1" t="s">
        <v>2722</v>
      </c>
      <c r="H819" s="18"/>
    </row>
    <row r="820" spans="1:8">
      <c r="A820" s="1" t="s">
        <v>2372</v>
      </c>
      <c r="B820" s="1" t="s">
        <v>1582</v>
      </c>
      <c r="C820" s="1"/>
      <c r="D820" s="1"/>
      <c r="E820" s="1" t="s">
        <v>36</v>
      </c>
      <c r="F820" s="1" t="s">
        <v>32</v>
      </c>
      <c r="G820" s="1" t="s">
        <v>2731</v>
      </c>
      <c r="H820" s="18"/>
    </row>
    <row r="821" spans="1:8">
      <c r="A821" s="1" t="s">
        <v>2373</v>
      </c>
      <c r="B821" s="1" t="s">
        <v>1582</v>
      </c>
      <c r="C821" s="1"/>
      <c r="D821" s="1"/>
      <c r="E821" s="1" t="s">
        <v>1586</v>
      </c>
      <c r="F821" s="1" t="s">
        <v>32</v>
      </c>
      <c r="G821" s="1" t="s">
        <v>3131</v>
      </c>
      <c r="H821" s="18"/>
    </row>
    <row r="822" spans="1:8">
      <c r="A822" s="1" t="s">
        <v>2374</v>
      </c>
      <c r="B822" s="1" t="s">
        <v>1582</v>
      </c>
      <c r="C822" s="1"/>
      <c r="D822" s="1"/>
      <c r="E822" s="1" t="s">
        <v>930</v>
      </c>
      <c r="F822" s="1" t="s">
        <v>32</v>
      </c>
      <c r="G822" s="1" t="s">
        <v>2723</v>
      </c>
      <c r="H822" s="18"/>
    </row>
    <row r="823" spans="1:8">
      <c r="A823" s="1" t="s">
        <v>2375</v>
      </c>
      <c r="B823" s="1" t="s">
        <v>1582</v>
      </c>
      <c r="C823" s="1"/>
      <c r="D823" s="1"/>
      <c r="E823" s="1" t="s">
        <v>66</v>
      </c>
      <c r="F823" s="1" t="s">
        <v>32</v>
      </c>
      <c r="G823" s="1" t="s">
        <v>2719</v>
      </c>
      <c r="H823" s="18"/>
    </row>
    <row r="824" spans="1:8">
      <c r="A824" s="1" t="s">
        <v>2376</v>
      </c>
      <c r="B824" s="1" t="s">
        <v>1582</v>
      </c>
      <c r="C824" s="1"/>
      <c r="D824" s="1"/>
      <c r="E824" s="1" t="s">
        <v>42</v>
      </c>
      <c r="F824" s="1" t="s">
        <v>32</v>
      </c>
      <c r="G824" s="1" t="s">
        <v>2716</v>
      </c>
      <c r="H824" s="18"/>
    </row>
    <row r="825" spans="1:8">
      <c r="A825" s="1" t="s">
        <v>2377</v>
      </c>
      <c r="B825" s="1" t="s">
        <v>1582</v>
      </c>
      <c r="C825" s="1"/>
      <c r="D825" s="1"/>
      <c r="E825" s="1" t="s">
        <v>1587</v>
      </c>
      <c r="F825" s="1" t="s">
        <v>32</v>
      </c>
      <c r="G825" s="1" t="s">
        <v>3132</v>
      </c>
      <c r="H825" s="18"/>
    </row>
    <row r="826" spans="1:8">
      <c r="A826" s="1" t="s">
        <v>2378</v>
      </c>
      <c r="B826" s="1" t="s">
        <v>1582</v>
      </c>
      <c r="C826" s="1"/>
      <c r="D826" s="1"/>
      <c r="E826" s="1" t="s">
        <v>1588</v>
      </c>
      <c r="F826" s="1" t="s">
        <v>32</v>
      </c>
      <c r="G826" s="1" t="s">
        <v>3133</v>
      </c>
      <c r="H826" s="18"/>
    </row>
    <row r="827" spans="1:8">
      <c r="A827" s="1" t="s">
        <v>2379</v>
      </c>
      <c r="B827" s="1" t="s">
        <v>1582</v>
      </c>
      <c r="C827" s="1"/>
      <c r="D827" s="1"/>
      <c r="E827" s="1" t="s">
        <v>1589</v>
      </c>
      <c r="F827" s="1" t="s">
        <v>32</v>
      </c>
      <c r="G827" s="1" t="s">
        <v>3134</v>
      </c>
      <c r="H827" s="18"/>
    </row>
    <row r="828" spans="1:8">
      <c r="A828" s="1" t="s">
        <v>2380</v>
      </c>
      <c r="B828" s="1" t="s">
        <v>1582</v>
      </c>
      <c r="C828" s="1"/>
      <c r="D828" s="1"/>
      <c r="E828" s="1" t="s">
        <v>1590</v>
      </c>
      <c r="F828" s="1" t="s">
        <v>32</v>
      </c>
      <c r="G828" s="1" t="s">
        <v>3135</v>
      </c>
      <c r="H828" s="18"/>
    </row>
    <row r="829" spans="1:8">
      <c r="A829" s="1" t="s">
        <v>2381</v>
      </c>
      <c r="B829" s="1" t="s">
        <v>1582</v>
      </c>
      <c r="C829" s="1"/>
      <c r="D829" s="1"/>
      <c r="E829" s="1" t="s">
        <v>1591</v>
      </c>
      <c r="F829" s="1" t="s">
        <v>32</v>
      </c>
      <c r="G829" s="1" t="s">
        <v>3136</v>
      </c>
      <c r="H829" s="18"/>
    </row>
    <row r="830" spans="1:8">
      <c r="A830" s="1" t="s">
        <v>2382</v>
      </c>
      <c r="B830" s="1" t="s">
        <v>1582</v>
      </c>
      <c r="C830" s="1"/>
      <c r="D830" s="1"/>
      <c r="E830" s="1" t="s">
        <v>1015</v>
      </c>
      <c r="F830" s="1" t="s">
        <v>32</v>
      </c>
      <c r="G830" s="1" t="s">
        <v>2726</v>
      </c>
      <c r="H830" s="18"/>
    </row>
    <row r="831" spans="1:8">
      <c r="A831" s="1" t="s">
        <v>2383</v>
      </c>
      <c r="B831" s="1" t="s">
        <v>1582</v>
      </c>
      <c r="C831" s="1"/>
      <c r="D831" s="1"/>
      <c r="E831" s="1" t="s">
        <v>1592</v>
      </c>
      <c r="F831" s="1" t="s">
        <v>32</v>
      </c>
      <c r="G831" s="1" t="s">
        <v>3137</v>
      </c>
      <c r="H831" s="18"/>
    </row>
    <row r="832" spans="1:8">
      <c r="A832" s="1" t="s">
        <v>2384</v>
      </c>
      <c r="B832" s="1" t="s">
        <v>1582</v>
      </c>
      <c r="C832" s="1"/>
      <c r="D832" s="1"/>
      <c r="E832" s="1" t="s">
        <v>31</v>
      </c>
      <c r="F832" s="1" t="s">
        <v>32</v>
      </c>
      <c r="G832" s="1" t="s">
        <v>2721</v>
      </c>
      <c r="H832" s="18"/>
    </row>
    <row r="833" spans="1:8">
      <c r="A833" s="1" t="s">
        <v>2385</v>
      </c>
      <c r="B833" s="1" t="s">
        <v>1593</v>
      </c>
      <c r="C833" s="1"/>
      <c r="D833" s="1"/>
      <c r="E833" s="1" t="s">
        <v>1594</v>
      </c>
      <c r="F833" s="1" t="s">
        <v>32</v>
      </c>
      <c r="G833" s="1" t="s">
        <v>3138</v>
      </c>
      <c r="H833" s="18"/>
    </row>
    <row r="834" spans="1:8">
      <c r="A834" s="1" t="s">
        <v>2386</v>
      </c>
      <c r="B834" s="1" t="s">
        <v>1593</v>
      </c>
      <c r="C834" s="1"/>
      <c r="D834" s="1"/>
      <c r="E834" s="1" t="s">
        <v>1595</v>
      </c>
      <c r="F834" s="1" t="s">
        <v>32</v>
      </c>
      <c r="G834" s="1" t="s">
        <v>3139</v>
      </c>
      <c r="H834" s="18"/>
    </row>
    <row r="835" spans="1:8">
      <c r="A835" s="1" t="s">
        <v>2387</v>
      </c>
      <c r="B835" s="1" t="s">
        <v>1593</v>
      </c>
      <c r="C835" s="1"/>
      <c r="D835" s="1"/>
      <c r="E835" s="1" t="s">
        <v>1596</v>
      </c>
      <c r="F835" s="1" t="s">
        <v>32</v>
      </c>
      <c r="G835" s="1" t="s">
        <v>3140</v>
      </c>
      <c r="H835" s="18"/>
    </row>
    <row r="836" spans="1:8">
      <c r="A836" s="1" t="s">
        <v>2388</v>
      </c>
      <c r="B836" s="1" t="s">
        <v>1593</v>
      </c>
      <c r="C836" s="1"/>
      <c r="D836" s="1"/>
      <c r="E836" s="1" t="s">
        <v>1597</v>
      </c>
      <c r="F836" s="1" t="s">
        <v>32</v>
      </c>
      <c r="G836" s="1" t="s">
        <v>3141</v>
      </c>
      <c r="H836" s="18"/>
    </row>
    <row r="837" spans="1:8">
      <c r="A837" s="1" t="s">
        <v>2389</v>
      </c>
      <c r="B837" s="1" t="s">
        <v>1593</v>
      </c>
      <c r="C837" s="1"/>
      <c r="D837" s="1"/>
      <c r="E837" s="1" t="s">
        <v>1598</v>
      </c>
      <c r="F837" s="1" t="s">
        <v>32</v>
      </c>
      <c r="G837" s="1" t="s">
        <v>3142</v>
      </c>
      <c r="H837" s="18"/>
    </row>
    <row r="838" spans="1:8">
      <c r="A838" s="1" t="s">
        <v>2390</v>
      </c>
      <c r="B838" s="1" t="s">
        <v>1593</v>
      </c>
      <c r="C838" s="1"/>
      <c r="D838" s="1"/>
      <c r="E838" s="1" t="s">
        <v>1599</v>
      </c>
      <c r="F838" s="1" t="s">
        <v>32</v>
      </c>
      <c r="G838" s="1" t="s">
        <v>3143</v>
      </c>
      <c r="H838" s="18"/>
    </row>
    <row r="839" spans="1:8">
      <c r="A839" s="1" t="s">
        <v>2391</v>
      </c>
      <c r="B839" s="1" t="s">
        <v>1593</v>
      </c>
      <c r="C839" s="1"/>
      <c r="D839" s="1"/>
      <c r="E839" s="1" t="s">
        <v>1600</v>
      </c>
      <c r="F839" s="1" t="s">
        <v>32</v>
      </c>
      <c r="G839" s="1" t="s">
        <v>3144</v>
      </c>
      <c r="H839" s="18"/>
    </row>
    <row r="840" spans="1:8">
      <c r="A840" s="1" t="s">
        <v>2392</v>
      </c>
      <c r="B840" s="1" t="s">
        <v>1593</v>
      </c>
      <c r="C840" s="1"/>
      <c r="D840" s="1"/>
      <c r="E840" s="1" t="s">
        <v>1601</v>
      </c>
      <c r="F840" s="1" t="s">
        <v>32</v>
      </c>
      <c r="G840" s="1" t="s">
        <v>3145</v>
      </c>
      <c r="H840" s="18"/>
    </row>
    <row r="841" spans="1:8">
      <c r="A841" s="1" t="s">
        <v>2393</v>
      </c>
      <c r="B841" s="1" t="s">
        <v>1593</v>
      </c>
      <c r="C841" s="1"/>
      <c r="D841" s="1"/>
      <c r="E841" s="1" t="s">
        <v>1602</v>
      </c>
      <c r="F841" s="1" t="s">
        <v>32</v>
      </c>
      <c r="G841" s="1" t="s">
        <v>3146</v>
      </c>
      <c r="H841" s="18"/>
    </row>
    <row r="842" spans="1:8">
      <c r="A842" s="1" t="s">
        <v>2394</v>
      </c>
      <c r="B842" s="1" t="s">
        <v>1593</v>
      </c>
      <c r="C842" s="1"/>
      <c r="D842" s="1"/>
      <c r="E842" s="1" t="s">
        <v>1604</v>
      </c>
      <c r="F842" s="1" t="s">
        <v>32</v>
      </c>
      <c r="G842" s="1" t="s">
        <v>3147</v>
      </c>
      <c r="H842" s="18"/>
    </row>
    <row r="843" spans="1:8">
      <c r="A843" s="1" t="s">
        <v>2395</v>
      </c>
      <c r="B843" s="1" t="s">
        <v>1593</v>
      </c>
      <c r="C843" s="1"/>
      <c r="D843" s="1"/>
      <c r="E843" s="1" t="s">
        <v>1605</v>
      </c>
      <c r="F843" s="1" t="s">
        <v>32</v>
      </c>
      <c r="G843" s="1" t="s">
        <v>3148</v>
      </c>
      <c r="H843" s="18"/>
    </row>
    <row r="844" spans="1:8">
      <c r="A844" s="1" t="s">
        <v>2396</v>
      </c>
      <c r="B844" s="1" t="s">
        <v>1593</v>
      </c>
      <c r="C844" s="1"/>
      <c r="D844" s="1"/>
      <c r="E844" s="1" t="s">
        <v>516</v>
      </c>
      <c r="F844" s="1" t="s">
        <v>32</v>
      </c>
      <c r="G844" s="1" t="s">
        <v>3100</v>
      </c>
      <c r="H844" s="18"/>
    </row>
    <row r="845" spans="1:8">
      <c r="A845" s="1" t="s">
        <v>2397</v>
      </c>
      <c r="B845" s="1" t="s">
        <v>1593</v>
      </c>
      <c r="C845" s="1"/>
      <c r="D845" s="1"/>
      <c r="E845" s="1" t="s">
        <v>1606</v>
      </c>
      <c r="F845" s="1" t="s">
        <v>32</v>
      </c>
      <c r="G845" s="1" t="s">
        <v>3149</v>
      </c>
      <c r="H845" s="18"/>
    </row>
    <row r="846" spans="1:8">
      <c r="A846" s="1" t="s">
        <v>2398</v>
      </c>
      <c r="B846" s="1" t="s">
        <v>1593</v>
      </c>
      <c r="C846" s="1"/>
      <c r="D846" s="1"/>
      <c r="E846" s="1" t="s">
        <v>1607</v>
      </c>
      <c r="F846" s="1" t="s">
        <v>32</v>
      </c>
      <c r="G846" s="1" t="s">
        <v>3150</v>
      </c>
      <c r="H846" s="18"/>
    </row>
    <row r="847" spans="1:8">
      <c r="A847" s="1" t="s">
        <v>2399</v>
      </c>
      <c r="B847" s="1" t="s">
        <v>1593</v>
      </c>
      <c r="C847" s="1"/>
      <c r="D847" s="1"/>
      <c r="E847" s="1" t="s">
        <v>1609</v>
      </c>
      <c r="F847" s="1" t="s">
        <v>32</v>
      </c>
      <c r="G847" s="1" t="s">
        <v>3151</v>
      </c>
      <c r="H847" s="17"/>
    </row>
    <row r="848" spans="1:8">
      <c r="A848" s="1" t="s">
        <v>2400</v>
      </c>
      <c r="B848" s="1" t="s">
        <v>1593</v>
      </c>
      <c r="C848" s="1"/>
      <c r="D848" s="1"/>
      <c r="E848" s="1" t="s">
        <v>1610</v>
      </c>
      <c r="F848" s="1" t="s">
        <v>32</v>
      </c>
      <c r="G848" s="1" t="s">
        <v>3152</v>
      </c>
      <c r="H848" s="17"/>
    </row>
    <row r="849" spans="1:26">
      <c r="A849" s="1" t="s">
        <v>2401</v>
      </c>
      <c r="B849" s="1" t="s">
        <v>1593</v>
      </c>
      <c r="C849" s="1"/>
      <c r="D849" s="1"/>
      <c r="E849" s="1" t="s">
        <v>1127</v>
      </c>
      <c r="F849" s="1" t="s">
        <v>32</v>
      </c>
      <c r="G849" s="1" t="s">
        <v>2729</v>
      </c>
      <c r="H849" s="18"/>
    </row>
    <row r="850" spans="1:26">
      <c r="A850" s="1" t="s">
        <v>2402</v>
      </c>
      <c r="B850" s="1" t="s">
        <v>1593</v>
      </c>
      <c r="C850" s="1"/>
      <c r="D850" s="1"/>
      <c r="E850" s="1" t="s">
        <v>1611</v>
      </c>
      <c r="F850" s="1" t="s">
        <v>32</v>
      </c>
      <c r="G850" s="1" t="s">
        <v>3153</v>
      </c>
      <c r="H850" s="18"/>
    </row>
    <row r="851" spans="1:26">
      <c r="A851" s="1" t="s">
        <v>2403</v>
      </c>
      <c r="B851" s="1" t="s">
        <v>1593</v>
      </c>
      <c r="C851" s="1"/>
      <c r="D851" s="1"/>
      <c r="E851" s="1" t="s">
        <v>89</v>
      </c>
      <c r="F851" s="1" t="s">
        <v>32</v>
      </c>
      <c r="G851" s="1" t="s">
        <v>3154</v>
      </c>
      <c r="H851" s="18"/>
    </row>
    <row r="852" spans="1:26">
      <c r="A852" s="1" t="s">
        <v>2404</v>
      </c>
      <c r="B852" s="1" t="s">
        <v>1593</v>
      </c>
      <c r="C852" s="1"/>
      <c r="D852" s="1"/>
      <c r="E852" s="1" t="s">
        <v>1613</v>
      </c>
      <c r="F852" s="1" t="s">
        <v>32</v>
      </c>
      <c r="G852" s="1" t="s">
        <v>3155</v>
      </c>
      <c r="H852" s="18"/>
    </row>
    <row r="853" spans="1:26" s="2" customFormat="1">
      <c r="A853" s="1" t="s">
        <v>2405</v>
      </c>
      <c r="B853" s="1" t="s">
        <v>1593</v>
      </c>
      <c r="C853" s="1"/>
      <c r="D853" s="1"/>
      <c r="E853" s="1" t="s">
        <v>1614</v>
      </c>
      <c r="F853" s="1" t="s">
        <v>32</v>
      </c>
      <c r="G853" s="1" t="s">
        <v>3156</v>
      </c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>
      <c r="A854" s="1" t="s">
        <v>2406</v>
      </c>
      <c r="B854" s="1" t="s">
        <v>1593</v>
      </c>
      <c r="C854" s="1"/>
      <c r="D854" s="1"/>
      <c r="E854" s="1" t="s">
        <v>1615</v>
      </c>
      <c r="F854" s="1" t="s">
        <v>32</v>
      </c>
      <c r="G854" s="1" t="s">
        <v>3157</v>
      </c>
      <c r="H854" s="18"/>
    </row>
    <row r="855" spans="1:26">
      <c r="A855" s="1" t="s">
        <v>2407</v>
      </c>
      <c r="B855" s="1" t="s">
        <v>1593</v>
      </c>
      <c r="C855" s="1"/>
      <c r="D855" s="1"/>
      <c r="E855" s="1" t="s">
        <v>1616</v>
      </c>
      <c r="F855" s="1" t="s">
        <v>32</v>
      </c>
      <c r="G855" s="1" t="s">
        <v>3158</v>
      </c>
      <c r="H855" s="18"/>
    </row>
    <row r="856" spans="1:26">
      <c r="A856" s="1" t="s">
        <v>2408</v>
      </c>
      <c r="B856" s="1" t="s">
        <v>1593</v>
      </c>
      <c r="C856" s="1"/>
      <c r="D856" s="1"/>
      <c r="E856" s="1" t="s">
        <v>1617</v>
      </c>
      <c r="F856" s="1" t="s">
        <v>32</v>
      </c>
      <c r="G856" s="1" t="s">
        <v>3159</v>
      </c>
      <c r="H856" s="18"/>
    </row>
    <row r="857" spans="1:26">
      <c r="A857" s="1" t="s">
        <v>2409</v>
      </c>
      <c r="B857" s="1" t="s">
        <v>1593</v>
      </c>
      <c r="C857" s="1"/>
      <c r="D857" s="1"/>
      <c r="E857" s="1" t="s">
        <v>1618</v>
      </c>
      <c r="F857" s="1" t="s">
        <v>32</v>
      </c>
      <c r="G857" s="1" t="s">
        <v>3160</v>
      </c>
      <c r="H857" s="18"/>
    </row>
    <row r="858" spans="1:26">
      <c r="A858" s="1" t="s">
        <v>2410</v>
      </c>
      <c r="B858" s="1" t="s">
        <v>1593</v>
      </c>
      <c r="C858" s="1"/>
      <c r="D858" s="1"/>
      <c r="E858" s="1" t="s">
        <v>1619</v>
      </c>
      <c r="F858" s="1" t="s">
        <v>32</v>
      </c>
      <c r="G858" s="1" t="s">
        <v>3161</v>
      </c>
      <c r="H858" s="18"/>
    </row>
    <row r="859" spans="1:26">
      <c r="A859" s="1" t="s">
        <v>2411</v>
      </c>
      <c r="B859" s="1" t="s">
        <v>1593</v>
      </c>
      <c r="C859" s="1"/>
      <c r="D859" s="1"/>
      <c r="E859" s="1" t="s">
        <v>242</v>
      </c>
      <c r="F859" s="1" t="s">
        <v>32</v>
      </c>
      <c r="G859" s="1" t="s">
        <v>2730</v>
      </c>
      <c r="H859" s="18"/>
    </row>
    <row r="860" spans="1:26">
      <c r="A860" s="1" t="s">
        <v>2412</v>
      </c>
      <c r="B860" s="1" t="s">
        <v>1593</v>
      </c>
      <c r="C860" s="1"/>
      <c r="D860" s="1"/>
      <c r="E860" s="1" t="s">
        <v>1620</v>
      </c>
      <c r="F860" s="1" t="s">
        <v>32</v>
      </c>
      <c r="G860" s="1" t="s">
        <v>3162</v>
      </c>
      <c r="H860" s="18"/>
    </row>
    <row r="861" spans="1:26">
      <c r="A861" s="1" t="s">
        <v>2413</v>
      </c>
      <c r="B861" s="1" t="s">
        <v>1593</v>
      </c>
      <c r="C861" s="1"/>
      <c r="D861" s="1"/>
      <c r="E861" s="1" t="s">
        <v>242</v>
      </c>
      <c r="F861" s="1" t="s">
        <v>32</v>
      </c>
      <c r="G861" s="1" t="s">
        <v>1631</v>
      </c>
      <c r="H861" s="18"/>
    </row>
    <row r="862" spans="1:26">
      <c r="A862" s="1" t="s">
        <v>2414</v>
      </c>
      <c r="B862" s="1" t="s">
        <v>1593</v>
      </c>
      <c r="C862" s="1"/>
      <c r="D862" s="1"/>
      <c r="E862" s="1" t="s">
        <v>1678</v>
      </c>
      <c r="F862" s="1" t="s">
        <v>32</v>
      </c>
      <c r="G862" s="1" t="s">
        <v>1679</v>
      </c>
      <c r="H862" s="18"/>
    </row>
    <row r="863" spans="1:26">
      <c r="A863" s="1" t="s">
        <v>2415</v>
      </c>
      <c r="B863" s="1" t="s">
        <v>1593</v>
      </c>
      <c r="C863" s="1"/>
      <c r="D863" s="1"/>
      <c r="E863" s="1" t="s">
        <v>1584</v>
      </c>
      <c r="F863" s="1" t="s">
        <v>32</v>
      </c>
      <c r="G863" s="1" t="s">
        <v>1784</v>
      </c>
      <c r="H863" s="18"/>
    </row>
    <row r="864" spans="1:26">
      <c r="A864" s="1" t="s">
        <v>2416</v>
      </c>
      <c r="B864" s="1" t="s">
        <v>1593</v>
      </c>
      <c r="C864" s="1"/>
      <c r="D864" s="1"/>
      <c r="E864" s="1" t="s">
        <v>1601</v>
      </c>
      <c r="F864" s="1" t="s">
        <v>32</v>
      </c>
      <c r="G864" s="1" t="s">
        <v>1785</v>
      </c>
      <c r="H864" s="18"/>
    </row>
    <row r="865" spans="1:8">
      <c r="A865" s="1" t="s">
        <v>2417</v>
      </c>
      <c r="B865" s="1" t="s">
        <v>1593</v>
      </c>
      <c r="C865" s="1"/>
      <c r="D865" s="1"/>
      <c r="E865" s="1" t="s">
        <v>1127</v>
      </c>
      <c r="F865" s="1" t="s">
        <v>32</v>
      </c>
      <c r="G865" s="1" t="s">
        <v>1786</v>
      </c>
      <c r="H865" s="18"/>
    </row>
    <row r="866" spans="1:8">
      <c r="A866" s="1" t="s">
        <v>2418</v>
      </c>
      <c r="B866" s="1" t="s">
        <v>1593</v>
      </c>
      <c r="C866" s="1"/>
      <c r="D866" s="1"/>
      <c r="E866" s="1" t="s">
        <v>1599</v>
      </c>
      <c r="F866" s="1" t="s">
        <v>32</v>
      </c>
      <c r="G866" s="1" t="s">
        <v>1787</v>
      </c>
      <c r="H866" s="18"/>
    </row>
    <row r="867" spans="1:8">
      <c r="A867" s="1" t="s">
        <v>2419</v>
      </c>
      <c r="B867" s="1" t="s">
        <v>1593</v>
      </c>
      <c r="C867" s="1"/>
      <c r="D867" s="1"/>
      <c r="E867" s="1" t="s">
        <v>1788</v>
      </c>
      <c r="F867" s="1" t="s">
        <v>32</v>
      </c>
      <c r="G867" s="1" t="s">
        <v>1789</v>
      </c>
      <c r="H867" s="18"/>
    </row>
    <row r="868" spans="1:8">
      <c r="A868" s="1" t="s">
        <v>2420</v>
      </c>
      <c r="B868" s="1" t="s">
        <v>1593</v>
      </c>
      <c r="C868" s="1"/>
      <c r="D868" s="1"/>
      <c r="E868" s="1" t="s">
        <v>1790</v>
      </c>
      <c r="F868" s="1" t="s">
        <v>32</v>
      </c>
      <c r="G868" s="1" t="s">
        <v>1791</v>
      </c>
      <c r="H868" s="18"/>
    </row>
    <row r="869" spans="1:8">
      <c r="A869" s="1" t="s">
        <v>2421</v>
      </c>
      <c r="B869" s="1" t="s">
        <v>1593</v>
      </c>
      <c r="C869" s="1"/>
      <c r="D869" s="1"/>
      <c r="E869" s="1" t="s">
        <v>1792</v>
      </c>
      <c r="F869" s="1" t="s">
        <v>32</v>
      </c>
      <c r="G869" s="1" t="s">
        <v>1793</v>
      </c>
      <c r="H869" s="18"/>
    </row>
    <row r="870" spans="1:8">
      <c r="A870" s="1" t="s">
        <v>2422</v>
      </c>
      <c r="B870" s="1" t="s">
        <v>1593</v>
      </c>
      <c r="C870" s="1"/>
      <c r="D870" s="1"/>
      <c r="E870" s="1" t="s">
        <v>711</v>
      </c>
      <c r="F870" s="1" t="s">
        <v>32</v>
      </c>
      <c r="G870" s="1" t="s">
        <v>1794</v>
      </c>
      <c r="H870" s="18"/>
    </row>
    <row r="871" spans="1:8">
      <c r="A871" s="1" t="s">
        <v>2423</v>
      </c>
      <c r="B871" s="1" t="s">
        <v>1593</v>
      </c>
      <c r="C871" s="1"/>
      <c r="D871" s="1"/>
      <c r="E871" s="1" t="s">
        <v>982</v>
      </c>
      <c r="F871" s="1" t="s">
        <v>32</v>
      </c>
      <c r="G871" s="1" t="s">
        <v>1795</v>
      </c>
      <c r="H871" s="18"/>
    </row>
    <row r="872" spans="1:8">
      <c r="A872" s="1" t="s">
        <v>2424</v>
      </c>
      <c r="B872" s="1" t="s">
        <v>1593</v>
      </c>
      <c r="C872" s="1"/>
      <c r="D872" s="1"/>
      <c r="E872" s="1" t="s">
        <v>1607</v>
      </c>
      <c r="F872" s="1" t="s">
        <v>32</v>
      </c>
      <c r="G872" s="1" t="s">
        <v>1796</v>
      </c>
      <c r="H872" s="18"/>
    </row>
    <row r="873" spans="1:8">
      <c r="A873" s="1" t="s">
        <v>2425</v>
      </c>
      <c r="B873" s="1" t="s">
        <v>1593</v>
      </c>
      <c r="C873" s="1"/>
      <c r="D873" s="1"/>
      <c r="E873" s="1" t="s">
        <v>1596</v>
      </c>
      <c r="F873" s="1" t="s">
        <v>32</v>
      </c>
      <c r="G873" s="1" t="s">
        <v>1797</v>
      </c>
      <c r="H873" s="18"/>
    </row>
    <row r="874" spans="1:8">
      <c r="A874" s="1" t="s">
        <v>2426</v>
      </c>
      <c r="B874" s="1" t="s">
        <v>1593</v>
      </c>
      <c r="C874" s="1"/>
      <c r="D874" s="1"/>
      <c r="E874" s="1" t="s">
        <v>1592</v>
      </c>
      <c r="F874" s="1" t="s">
        <v>32</v>
      </c>
      <c r="G874" s="1" t="s">
        <v>1798</v>
      </c>
      <c r="H874" s="18"/>
    </row>
    <row r="875" spans="1:8">
      <c r="A875" s="1" t="s">
        <v>2427</v>
      </c>
      <c r="B875" s="1" t="s">
        <v>1593</v>
      </c>
      <c r="C875" s="1"/>
      <c r="D875" s="1"/>
      <c r="E875" s="1" t="s">
        <v>1602</v>
      </c>
      <c r="F875" s="1" t="s">
        <v>32</v>
      </c>
      <c r="G875" s="1" t="s">
        <v>1799</v>
      </c>
      <c r="H875" s="18"/>
    </row>
    <row r="876" spans="1:8">
      <c r="A876" s="1" t="s">
        <v>2428</v>
      </c>
      <c r="B876" s="1" t="s">
        <v>1593</v>
      </c>
      <c r="C876" s="1"/>
      <c r="D876" s="1"/>
      <c r="E876" s="1" t="s">
        <v>1614</v>
      </c>
      <c r="F876" s="1" t="s">
        <v>32</v>
      </c>
      <c r="G876" s="1" t="s">
        <v>1800</v>
      </c>
      <c r="H876" s="18"/>
    </row>
    <row r="877" spans="1:8">
      <c r="A877" s="1" t="s">
        <v>2429</v>
      </c>
      <c r="B877" s="1" t="s">
        <v>1593</v>
      </c>
      <c r="C877" s="1"/>
      <c r="D877" s="1"/>
      <c r="E877" s="1" t="s">
        <v>1801</v>
      </c>
      <c r="F877" s="1" t="s">
        <v>32</v>
      </c>
      <c r="G877" s="1" t="s">
        <v>1802</v>
      </c>
      <c r="H877" s="18"/>
    </row>
    <row r="878" spans="1:8">
      <c r="A878" s="1" t="s">
        <v>2430</v>
      </c>
      <c r="B878" s="1" t="s">
        <v>1593</v>
      </c>
      <c r="C878" s="1"/>
      <c r="D878" s="1"/>
      <c r="E878" s="1" t="s">
        <v>1803</v>
      </c>
      <c r="F878" s="1" t="s">
        <v>32</v>
      </c>
      <c r="G878" s="1" t="s">
        <v>1804</v>
      </c>
      <c r="H878" s="18"/>
    </row>
    <row r="879" spans="1:8">
      <c r="A879" s="1" t="s">
        <v>2431</v>
      </c>
      <c r="B879" s="1" t="s">
        <v>1593</v>
      </c>
      <c r="C879" s="1"/>
      <c r="D879" s="1"/>
      <c r="E879" s="1" t="s">
        <v>1033</v>
      </c>
      <c r="F879" s="1" t="s">
        <v>32</v>
      </c>
      <c r="G879" s="1" t="s">
        <v>1805</v>
      </c>
      <c r="H879" s="18"/>
    </row>
    <row r="880" spans="1:8">
      <c r="A880" s="1" t="s">
        <v>2432</v>
      </c>
      <c r="B880" s="1" t="s">
        <v>1593</v>
      </c>
      <c r="C880" s="1"/>
      <c r="D880" s="1"/>
      <c r="E880" s="1" t="s">
        <v>1806</v>
      </c>
      <c r="F880" s="1" t="s">
        <v>32</v>
      </c>
      <c r="G880" s="1" t="s">
        <v>1807</v>
      </c>
      <c r="H880" s="18"/>
    </row>
    <row r="881" spans="1:26">
      <c r="A881" s="1" t="s">
        <v>2433</v>
      </c>
      <c r="B881" s="1" t="s">
        <v>1593</v>
      </c>
      <c r="C881" s="1"/>
      <c r="D881" s="1"/>
      <c r="E881" s="1" t="s">
        <v>1598</v>
      </c>
      <c r="F881" s="1" t="s">
        <v>32</v>
      </c>
      <c r="G881" s="1" t="s">
        <v>1808</v>
      </c>
      <c r="H881" s="18"/>
    </row>
    <row r="882" spans="1:26">
      <c r="A882" s="1" t="s">
        <v>2434</v>
      </c>
      <c r="B882" s="1" t="s">
        <v>1593</v>
      </c>
      <c r="C882" s="1"/>
      <c r="D882" s="1"/>
      <c r="E882" s="1" t="s">
        <v>1613</v>
      </c>
      <c r="F882" s="1" t="s">
        <v>32</v>
      </c>
      <c r="G882" s="1" t="s">
        <v>1809</v>
      </c>
      <c r="H882" s="18"/>
    </row>
    <row r="883" spans="1:26">
      <c r="A883" s="1" t="s">
        <v>2435</v>
      </c>
      <c r="B883" s="1" t="s">
        <v>1593</v>
      </c>
      <c r="C883" s="1"/>
      <c r="D883" s="1"/>
      <c r="E883" s="1" t="s">
        <v>1610</v>
      </c>
      <c r="F883" s="1" t="s">
        <v>32</v>
      </c>
      <c r="G883" s="1" t="s">
        <v>1810</v>
      </c>
      <c r="H883" s="18"/>
    </row>
    <row r="884" spans="1:26">
      <c r="A884" s="1" t="s">
        <v>2436</v>
      </c>
      <c r="B884" s="1" t="s">
        <v>1593</v>
      </c>
      <c r="C884" s="1"/>
      <c r="D884" s="1"/>
      <c r="E884" s="1" t="s">
        <v>1589</v>
      </c>
      <c r="F884" s="1" t="s">
        <v>32</v>
      </c>
      <c r="G884" s="1" t="s">
        <v>1811</v>
      </c>
      <c r="H884" s="18"/>
    </row>
    <row r="885" spans="1:26">
      <c r="A885" s="1" t="s">
        <v>2437</v>
      </c>
      <c r="B885" s="1" t="s">
        <v>1593</v>
      </c>
      <c r="C885" s="1"/>
      <c r="D885" s="1"/>
      <c r="E885" s="1" t="s">
        <v>1618</v>
      </c>
      <c r="F885" s="1" t="s">
        <v>32</v>
      </c>
      <c r="G885" s="1" t="s">
        <v>1812</v>
      </c>
      <c r="H885" s="18"/>
    </row>
    <row r="886" spans="1:26">
      <c r="A886" s="1" t="s">
        <v>2438</v>
      </c>
      <c r="B886" s="1" t="s">
        <v>1593</v>
      </c>
      <c r="C886" s="1"/>
      <c r="D886" s="1"/>
      <c r="E886" s="1" t="s">
        <v>1616</v>
      </c>
      <c r="F886" s="1" t="s">
        <v>32</v>
      </c>
      <c r="G886" s="1" t="s">
        <v>1813</v>
      </c>
      <c r="H886" s="18"/>
    </row>
    <row r="887" spans="1:26">
      <c r="A887" s="1" t="s">
        <v>2439</v>
      </c>
      <c r="B887" s="1" t="s">
        <v>1593</v>
      </c>
      <c r="C887" s="1"/>
      <c r="D887" s="1"/>
      <c r="E887" s="1" t="s">
        <v>1595</v>
      </c>
      <c r="F887" s="1" t="s">
        <v>32</v>
      </c>
      <c r="G887" s="1" t="s">
        <v>1814</v>
      </c>
      <c r="H887" s="18"/>
    </row>
    <row r="888" spans="1:26">
      <c r="A888" s="1" t="s">
        <v>2440</v>
      </c>
      <c r="B888" s="1" t="s">
        <v>1593</v>
      </c>
      <c r="C888" s="1"/>
      <c r="D888" s="1"/>
      <c r="E888" s="1" t="s">
        <v>1605</v>
      </c>
      <c r="F888" s="1" t="s">
        <v>32</v>
      </c>
      <c r="G888" s="1" t="s">
        <v>1815</v>
      </c>
      <c r="H888" s="18"/>
    </row>
    <row r="889" spans="1:26">
      <c r="A889" s="1" t="s">
        <v>2441</v>
      </c>
      <c r="B889" s="1" t="s">
        <v>1593</v>
      </c>
      <c r="C889" s="1"/>
      <c r="D889" s="1"/>
      <c r="E889" s="1" t="s">
        <v>1615</v>
      </c>
      <c r="F889" s="1" t="s">
        <v>32</v>
      </c>
      <c r="G889" s="1" t="s">
        <v>1777</v>
      </c>
    </row>
    <row r="890" spans="1:26">
      <c r="A890" s="1" t="s">
        <v>2442</v>
      </c>
      <c r="B890" s="1" t="s">
        <v>1593</v>
      </c>
      <c r="C890" s="1"/>
      <c r="D890" s="1"/>
      <c r="E890" s="1" t="s">
        <v>1604</v>
      </c>
      <c r="F890" s="1" t="s">
        <v>32</v>
      </c>
      <c r="G890" s="1" t="s">
        <v>1816</v>
      </c>
    </row>
    <row r="891" spans="1:26">
      <c r="A891" s="1" t="s">
        <v>2443</v>
      </c>
      <c r="B891" s="1" t="s">
        <v>1593</v>
      </c>
      <c r="C891" s="1"/>
      <c r="D891" s="1"/>
      <c r="E891" s="1" t="s">
        <v>1597</v>
      </c>
      <c r="F891" s="1" t="s">
        <v>32</v>
      </c>
      <c r="G891" s="1" t="s">
        <v>1817</v>
      </c>
    </row>
    <row r="892" spans="1:26">
      <c r="A892" s="1" t="s">
        <v>2444</v>
      </c>
      <c r="B892" s="1" t="s">
        <v>1582</v>
      </c>
      <c r="C892" s="1"/>
      <c r="D892" s="1"/>
      <c r="E892" s="1" t="s">
        <v>1828</v>
      </c>
      <c r="F892" s="1" t="s">
        <v>32</v>
      </c>
      <c r="G892" s="1" t="s">
        <v>1829</v>
      </c>
    </row>
    <row r="893" spans="1:26" s="2" customFormat="1">
      <c r="A893" s="1" t="s">
        <v>2445</v>
      </c>
      <c r="B893" s="1" t="s">
        <v>1582</v>
      </c>
      <c r="C893" s="1"/>
      <c r="D893" s="1"/>
      <c r="E893" s="1" t="s">
        <v>1583</v>
      </c>
      <c r="F893" s="1" t="s">
        <v>32</v>
      </c>
      <c r="G893" s="1" t="s">
        <v>1739</v>
      </c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>
      <c r="A894" s="1" t="s">
        <v>2446</v>
      </c>
      <c r="B894" s="1" t="s">
        <v>1582</v>
      </c>
      <c r="C894" s="1"/>
      <c r="D894" s="1"/>
      <c r="E894" s="1" t="s">
        <v>36</v>
      </c>
      <c r="F894" s="1" t="s">
        <v>32</v>
      </c>
      <c r="G894" s="1" t="s">
        <v>1740</v>
      </c>
    </row>
    <row r="895" spans="1:26">
      <c r="A895" s="1" t="s">
        <v>2447</v>
      </c>
      <c r="B895" s="1" t="s">
        <v>1582</v>
      </c>
      <c r="C895" s="1"/>
      <c r="D895" s="1"/>
      <c r="E895" s="1" t="s">
        <v>807</v>
      </c>
      <c r="F895" s="1" t="s">
        <v>32</v>
      </c>
      <c r="G895" s="1" t="s">
        <v>1741</v>
      </c>
    </row>
    <row r="896" spans="1:26">
      <c r="A896" s="1" t="s">
        <v>2448</v>
      </c>
      <c r="B896" s="1" t="s">
        <v>1582</v>
      </c>
      <c r="C896" s="1"/>
      <c r="D896" s="1"/>
      <c r="E896" s="1" t="s">
        <v>1742</v>
      </c>
      <c r="F896" s="1" t="s">
        <v>32</v>
      </c>
      <c r="G896" s="1" t="s">
        <v>1743</v>
      </c>
    </row>
    <row r="897" spans="1:26">
      <c r="A897" s="1" t="s">
        <v>2449</v>
      </c>
      <c r="B897" s="1" t="s">
        <v>1582</v>
      </c>
      <c r="C897" s="1"/>
      <c r="D897" s="1"/>
      <c r="E897" s="1" t="s">
        <v>1744</v>
      </c>
      <c r="F897" s="1" t="s">
        <v>32</v>
      </c>
      <c r="G897" s="1" t="s">
        <v>1745</v>
      </c>
    </row>
    <row r="898" spans="1:26">
      <c r="A898" s="1" t="s">
        <v>2450</v>
      </c>
      <c r="B898" s="1" t="s">
        <v>1582</v>
      </c>
      <c r="C898" s="1"/>
      <c r="D898" s="1"/>
      <c r="E898" s="1" t="s">
        <v>1746</v>
      </c>
      <c r="F898" s="1" t="s">
        <v>32</v>
      </c>
      <c r="G898" s="1" t="s">
        <v>1747</v>
      </c>
    </row>
    <row r="899" spans="1:26">
      <c r="A899" s="1" t="s">
        <v>2451</v>
      </c>
      <c r="B899" s="1" t="s">
        <v>1582</v>
      </c>
      <c r="C899" s="1"/>
      <c r="D899" s="1"/>
      <c r="E899" s="1" t="s">
        <v>1748</v>
      </c>
      <c r="F899" s="1" t="s">
        <v>32</v>
      </c>
      <c r="G899" s="1" t="s">
        <v>1749</v>
      </c>
    </row>
    <row r="900" spans="1:26" s="2" customFormat="1">
      <c r="A900" s="1" t="s">
        <v>2452</v>
      </c>
      <c r="B900" s="1" t="s">
        <v>1582</v>
      </c>
      <c r="C900" s="1"/>
      <c r="D900" s="1"/>
      <c r="E900" s="1" t="s">
        <v>1750</v>
      </c>
      <c r="F900" s="1" t="s">
        <v>32</v>
      </c>
      <c r="G900" s="1" t="s">
        <v>1751</v>
      </c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>
      <c r="A901" s="1" t="s">
        <v>2453</v>
      </c>
      <c r="B901" s="1" t="s">
        <v>1582</v>
      </c>
      <c r="C901" s="1"/>
      <c r="D901" s="1"/>
      <c r="E901" s="1" t="s">
        <v>1015</v>
      </c>
      <c r="F901" s="1" t="s">
        <v>32</v>
      </c>
      <c r="G901" s="1" t="s">
        <v>1752</v>
      </c>
    </row>
    <row r="902" spans="1:26">
      <c r="A902" s="1" t="s">
        <v>2454</v>
      </c>
      <c r="B902" s="1" t="s">
        <v>1582</v>
      </c>
      <c r="C902" s="1"/>
      <c r="D902" s="1"/>
      <c r="E902" s="1" t="s">
        <v>48</v>
      </c>
      <c r="F902" s="1" t="s">
        <v>32</v>
      </c>
      <c r="G902" s="1" t="s">
        <v>1753</v>
      </c>
    </row>
    <row r="903" spans="1:26">
      <c r="A903" s="1" t="s">
        <v>2455</v>
      </c>
      <c r="B903" s="1" t="s">
        <v>1582</v>
      </c>
      <c r="C903" s="1"/>
      <c r="D903" s="1"/>
      <c r="E903" s="1" t="s">
        <v>1754</v>
      </c>
      <c r="F903" s="1" t="s">
        <v>32</v>
      </c>
      <c r="G903" s="1" t="s">
        <v>1755</v>
      </c>
    </row>
    <row r="904" spans="1:26">
      <c r="A904" s="1" t="s">
        <v>2456</v>
      </c>
      <c r="B904" s="1" t="s">
        <v>1582</v>
      </c>
      <c r="C904" s="1"/>
      <c r="D904" s="1"/>
      <c r="E904" s="1" t="s">
        <v>42</v>
      </c>
      <c r="F904" s="1" t="s">
        <v>32</v>
      </c>
      <c r="G904" s="1" t="s">
        <v>1756</v>
      </c>
    </row>
    <row r="905" spans="1:26">
      <c r="A905" s="1" t="s">
        <v>2457</v>
      </c>
      <c r="B905" s="1" t="s">
        <v>1582</v>
      </c>
      <c r="C905" s="1"/>
      <c r="D905" s="1"/>
      <c r="E905" s="1" t="s">
        <v>930</v>
      </c>
      <c r="F905" s="1" t="s">
        <v>32</v>
      </c>
      <c r="G905" s="1" t="s">
        <v>1757</v>
      </c>
    </row>
    <row r="906" spans="1:26">
      <c r="A906" s="1" t="s">
        <v>2458</v>
      </c>
      <c r="B906" s="1" t="s">
        <v>1582</v>
      </c>
      <c r="C906" s="1"/>
      <c r="D906" s="1"/>
      <c r="E906" s="1" t="s">
        <v>1588</v>
      </c>
      <c r="F906" s="1" t="s">
        <v>32</v>
      </c>
      <c r="G906" s="1" t="s">
        <v>1758</v>
      </c>
    </row>
    <row r="907" spans="1:26">
      <c r="A907" s="1" t="s">
        <v>2459</v>
      </c>
      <c r="B907" s="1" t="s">
        <v>1582</v>
      </c>
      <c r="C907" s="1"/>
      <c r="D907" s="1"/>
      <c r="E907" s="1" t="s">
        <v>66</v>
      </c>
      <c r="F907" s="1" t="s">
        <v>32</v>
      </c>
      <c r="G907" s="1" t="s">
        <v>1759</v>
      </c>
    </row>
    <row r="908" spans="1:26">
      <c r="A908" s="1" t="s">
        <v>2460</v>
      </c>
      <c r="B908" s="1" t="s">
        <v>1582</v>
      </c>
      <c r="C908" s="1"/>
      <c r="D908" s="1"/>
      <c r="E908" s="1" t="s">
        <v>1760</v>
      </c>
      <c r="F908" s="1" t="s">
        <v>32</v>
      </c>
      <c r="G908" s="1" t="s">
        <v>1761</v>
      </c>
    </row>
    <row r="909" spans="1:26">
      <c r="A909" s="1" t="s">
        <v>2461</v>
      </c>
      <c r="B909" s="1" t="s">
        <v>1582</v>
      </c>
      <c r="C909" s="1"/>
      <c r="D909" s="1"/>
      <c r="E909" s="1" t="s">
        <v>1586</v>
      </c>
      <c r="F909" s="1" t="s">
        <v>32</v>
      </c>
      <c r="G909" s="1" t="s">
        <v>1762</v>
      </c>
    </row>
    <row r="910" spans="1:26">
      <c r="A910" s="1" t="s">
        <v>2462</v>
      </c>
      <c r="B910" s="1" t="s">
        <v>1582</v>
      </c>
      <c r="C910" s="1"/>
      <c r="D910" s="1"/>
      <c r="E910" s="1" t="s">
        <v>31</v>
      </c>
      <c r="F910" s="1" t="s">
        <v>32</v>
      </c>
      <c r="G910" s="1" t="s">
        <v>1763</v>
      </c>
    </row>
    <row r="911" spans="1:26">
      <c r="A911" s="1" t="s">
        <v>2463</v>
      </c>
      <c r="B911" s="1" t="s">
        <v>1582</v>
      </c>
      <c r="C911" s="1"/>
      <c r="D911" s="1"/>
      <c r="E911" s="1" t="s">
        <v>1600</v>
      </c>
      <c r="F911" s="1" t="s">
        <v>32</v>
      </c>
      <c r="G911" s="1" t="s">
        <v>1764</v>
      </c>
    </row>
    <row r="912" spans="1:26" s="2" customFormat="1">
      <c r="A912" s="1" t="s">
        <v>2464</v>
      </c>
      <c r="B912" s="1" t="s">
        <v>1582</v>
      </c>
      <c r="C912" s="1"/>
      <c r="D912" s="1"/>
      <c r="E912" s="1" t="s">
        <v>880</v>
      </c>
      <c r="F912" s="1" t="s">
        <v>32</v>
      </c>
      <c r="G912" s="1" t="s">
        <v>1765</v>
      </c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>
      <c r="A913" s="1" t="s">
        <v>2465</v>
      </c>
      <c r="B913" s="1" t="s">
        <v>1582</v>
      </c>
      <c r="C913" s="1"/>
      <c r="D913" s="1"/>
      <c r="E913" s="1" t="s">
        <v>1585</v>
      </c>
      <c r="F913" s="1" t="s">
        <v>32</v>
      </c>
      <c r="G913" s="1" t="s">
        <v>1766</v>
      </c>
    </row>
    <row r="914" spans="1:26">
      <c r="A914" s="1" t="s">
        <v>2466</v>
      </c>
      <c r="B914" s="1" t="s">
        <v>1582</v>
      </c>
      <c r="C914" s="1"/>
      <c r="D914" s="1"/>
      <c r="E914" s="1" t="s">
        <v>1590</v>
      </c>
      <c r="F914" s="1" t="s">
        <v>32</v>
      </c>
      <c r="G914" s="1" t="s">
        <v>1767</v>
      </c>
    </row>
    <row r="915" spans="1:26">
      <c r="A915" s="1" t="s">
        <v>2467</v>
      </c>
      <c r="B915" s="1" t="s">
        <v>1582</v>
      </c>
      <c r="C915" s="1"/>
      <c r="D915" s="1"/>
      <c r="E915" s="1" t="s">
        <v>1768</v>
      </c>
      <c r="F915" s="1" t="s">
        <v>32</v>
      </c>
      <c r="G915" s="1" t="s">
        <v>1769</v>
      </c>
    </row>
    <row r="916" spans="1:26">
      <c r="A916" s="1" t="s">
        <v>2468</v>
      </c>
      <c r="B916" s="1" t="s">
        <v>1582</v>
      </c>
      <c r="C916" s="1"/>
      <c r="D916" s="1"/>
      <c r="E916" s="1" t="s">
        <v>1770</v>
      </c>
      <c r="F916" s="1" t="s">
        <v>32</v>
      </c>
      <c r="G916" s="1" t="s">
        <v>1771</v>
      </c>
    </row>
    <row r="917" spans="1:26">
      <c r="A917" s="1" t="s">
        <v>2469</v>
      </c>
      <c r="B917" s="1" t="s">
        <v>1582</v>
      </c>
      <c r="C917" s="1"/>
      <c r="D917" s="1"/>
      <c r="E917" s="1" t="s">
        <v>1772</v>
      </c>
      <c r="F917" s="1" t="s">
        <v>32</v>
      </c>
      <c r="G917" s="1" t="s">
        <v>1773</v>
      </c>
    </row>
    <row r="918" spans="1:26">
      <c r="A918" s="1" t="s">
        <v>2470</v>
      </c>
      <c r="B918" s="1" t="s">
        <v>1847</v>
      </c>
      <c r="C918" s="1" t="s">
        <v>1848</v>
      </c>
      <c r="D918" s="1" t="s">
        <v>1838</v>
      </c>
      <c r="E918" s="1"/>
      <c r="F918" s="1"/>
      <c r="G918" s="1" t="s">
        <v>1850</v>
      </c>
    </row>
    <row r="919" spans="1:26">
      <c r="A919" s="1" t="s">
        <v>2471</v>
      </c>
      <c r="B919" s="1" t="s">
        <v>1847</v>
      </c>
      <c r="C919" s="1" t="s">
        <v>1848</v>
      </c>
      <c r="D919" s="1" t="s">
        <v>1834</v>
      </c>
      <c r="E919" s="1"/>
      <c r="F919" s="1"/>
      <c r="G919" s="1" t="s">
        <v>1850</v>
      </c>
    </row>
    <row r="920" spans="1:26" s="2" customFormat="1">
      <c r="A920" s="1" t="s">
        <v>2472</v>
      </c>
      <c r="B920" s="1" t="s">
        <v>1847</v>
      </c>
      <c r="C920" s="1" t="s">
        <v>1848</v>
      </c>
      <c r="D920" s="1" t="s">
        <v>1849</v>
      </c>
      <c r="E920" s="1"/>
      <c r="F920" s="1"/>
      <c r="G920" s="1" t="s">
        <v>1850</v>
      </c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>
      <c r="A921" s="1" t="s">
        <v>2473</v>
      </c>
      <c r="B921" s="1" t="s">
        <v>1847</v>
      </c>
      <c r="C921" s="1" t="s">
        <v>1851</v>
      </c>
      <c r="D921" s="1" t="s">
        <v>1852</v>
      </c>
      <c r="E921" s="1"/>
      <c r="F921" s="1"/>
      <c r="G921" s="1" t="s">
        <v>3038</v>
      </c>
    </row>
    <row r="922" spans="1:26">
      <c r="A922" s="1" t="s">
        <v>2474</v>
      </c>
      <c r="B922" s="1" t="s">
        <v>1847</v>
      </c>
      <c r="C922" s="1" t="s">
        <v>1854</v>
      </c>
      <c r="D922" s="1" t="s">
        <v>1855</v>
      </c>
      <c r="E922" s="1"/>
      <c r="F922" s="1"/>
      <c r="G922" s="1" t="s">
        <v>3039</v>
      </c>
    </row>
    <row r="923" spans="1:26">
      <c r="A923" s="1" t="s">
        <v>2475</v>
      </c>
      <c r="B923" s="1" t="s">
        <v>1847</v>
      </c>
      <c r="C923" s="1" t="s">
        <v>1851</v>
      </c>
      <c r="D923" s="1" t="s">
        <v>1857</v>
      </c>
      <c r="E923" s="1"/>
      <c r="F923" s="1"/>
      <c r="G923" s="1" t="s">
        <v>3038</v>
      </c>
    </row>
    <row r="924" spans="1:26">
      <c r="A924" s="2" t="s">
        <v>2476</v>
      </c>
      <c r="B924" s="2" t="s">
        <v>29</v>
      </c>
      <c r="C924" s="2"/>
      <c r="D924" s="2" t="s">
        <v>41</v>
      </c>
      <c r="E924" s="2" t="s">
        <v>42</v>
      </c>
      <c r="F924" s="2" t="s">
        <v>32</v>
      </c>
      <c r="G924" s="2" t="s">
        <v>2716</v>
      </c>
    </row>
    <row r="925" spans="1:26">
      <c r="A925" s="2" t="s">
        <v>2477</v>
      </c>
      <c r="B925" s="2" t="s">
        <v>29</v>
      </c>
      <c r="C925" s="2"/>
      <c r="D925" s="2" t="s">
        <v>63</v>
      </c>
      <c r="E925" s="2" t="s">
        <v>42</v>
      </c>
      <c r="F925" s="2" t="s">
        <v>32</v>
      </c>
      <c r="G925" s="2" t="s">
        <v>2716</v>
      </c>
    </row>
    <row r="926" spans="1:26" s="2" customFormat="1">
      <c r="A926" s="2" t="s">
        <v>2478</v>
      </c>
      <c r="B926" s="2" t="s">
        <v>81</v>
      </c>
      <c r="C926" s="2" t="s">
        <v>117</v>
      </c>
      <c r="D926" s="2" t="s">
        <v>118</v>
      </c>
      <c r="E926" s="2" t="s">
        <v>119</v>
      </c>
      <c r="F926" s="2" t="s">
        <v>84</v>
      </c>
      <c r="G926" s="2" t="s">
        <v>3090</v>
      </c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>
      <c r="A927" s="2" t="s">
        <v>2479</v>
      </c>
      <c r="B927" s="2" t="s">
        <v>81</v>
      </c>
      <c r="C927" s="2" t="s">
        <v>165</v>
      </c>
      <c r="D927" s="2" t="s">
        <v>166</v>
      </c>
      <c r="E927" s="2"/>
      <c r="F927" s="2" t="s">
        <v>84</v>
      </c>
      <c r="G927" s="2" t="s">
        <v>3091</v>
      </c>
    </row>
    <row r="928" spans="1:26">
      <c r="A928" s="2" t="s">
        <v>2480</v>
      </c>
      <c r="B928" s="2" t="s">
        <v>81</v>
      </c>
      <c r="C928" s="2" t="s">
        <v>223</v>
      </c>
      <c r="D928" s="2" t="s">
        <v>224</v>
      </c>
      <c r="E928" s="2" t="s">
        <v>119</v>
      </c>
      <c r="F928" s="2" t="s">
        <v>84</v>
      </c>
      <c r="G928" s="2" t="s">
        <v>3090</v>
      </c>
    </row>
    <row r="929" spans="1:26">
      <c r="A929" s="2" t="s">
        <v>2481</v>
      </c>
      <c r="B929" s="2" t="s">
        <v>81</v>
      </c>
      <c r="C929" s="2" t="s">
        <v>111</v>
      </c>
      <c r="D929" s="2" t="s">
        <v>182</v>
      </c>
      <c r="E929" s="2" t="s">
        <v>257</v>
      </c>
      <c r="F929" s="2" t="s">
        <v>84</v>
      </c>
      <c r="G929" s="2" t="s">
        <v>3046</v>
      </c>
    </row>
    <row r="930" spans="1:26">
      <c r="A930" s="2" t="s">
        <v>2482</v>
      </c>
      <c r="B930" s="2" t="s">
        <v>81</v>
      </c>
      <c r="C930" s="2" t="s">
        <v>111</v>
      </c>
      <c r="D930" s="2" t="s">
        <v>259</v>
      </c>
      <c r="E930" s="2" t="s">
        <v>257</v>
      </c>
      <c r="F930" s="2" t="s">
        <v>84</v>
      </c>
      <c r="G930" s="2" t="s">
        <v>3046</v>
      </c>
    </row>
    <row r="931" spans="1:26" s="2" customFormat="1">
      <c r="A931" s="2" t="s">
        <v>2483</v>
      </c>
      <c r="B931" s="2" t="s">
        <v>81</v>
      </c>
      <c r="C931" s="2" t="s">
        <v>276</v>
      </c>
      <c r="D931" s="2" t="s">
        <v>277</v>
      </c>
      <c r="E931" s="2" t="s">
        <v>119</v>
      </c>
      <c r="F931" s="2" t="s">
        <v>84</v>
      </c>
      <c r="G931" s="2" t="s">
        <v>3090</v>
      </c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>
      <c r="A932" s="2" t="s">
        <v>2484</v>
      </c>
      <c r="B932" s="2" t="s">
        <v>81</v>
      </c>
      <c r="C932" s="2" t="s">
        <v>386</v>
      </c>
      <c r="D932" s="2" t="s">
        <v>387</v>
      </c>
      <c r="E932" s="2" t="s">
        <v>119</v>
      </c>
      <c r="F932" s="2" t="s">
        <v>84</v>
      </c>
      <c r="G932" s="2" t="s">
        <v>3090</v>
      </c>
    </row>
    <row r="933" spans="1:26">
      <c r="A933" s="2" t="s">
        <v>2485</v>
      </c>
      <c r="B933" s="2" t="s">
        <v>81</v>
      </c>
      <c r="C933" s="2" t="s">
        <v>480</v>
      </c>
      <c r="D933" s="2" t="s">
        <v>224</v>
      </c>
      <c r="E933" s="2" t="s">
        <v>119</v>
      </c>
      <c r="F933" s="2" t="s">
        <v>84</v>
      </c>
      <c r="G933" s="2" t="s">
        <v>3090</v>
      </c>
    </row>
    <row r="934" spans="1:26">
      <c r="A934" s="2" t="s">
        <v>2486</v>
      </c>
      <c r="B934" s="2" t="s">
        <v>81</v>
      </c>
      <c r="C934" s="2" t="s">
        <v>111</v>
      </c>
      <c r="D934" s="2" t="s">
        <v>259</v>
      </c>
      <c r="E934" s="2"/>
      <c r="F934" s="2"/>
      <c r="G934" s="2" t="s">
        <v>3119</v>
      </c>
    </row>
    <row r="935" spans="1:26" s="2" customFormat="1">
      <c r="A935" s="2" t="s">
        <v>2487</v>
      </c>
      <c r="B935" s="2" t="s">
        <v>81</v>
      </c>
      <c r="C935" s="2" t="s">
        <v>94</v>
      </c>
      <c r="D935" s="2" t="s">
        <v>588</v>
      </c>
      <c r="E935" s="2" t="s">
        <v>119</v>
      </c>
      <c r="F935" s="2" t="s">
        <v>84</v>
      </c>
      <c r="G935" s="2" t="s">
        <v>3090</v>
      </c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>
      <c r="A936" s="2" t="s">
        <v>2488</v>
      </c>
      <c r="B936" s="2" t="s">
        <v>81</v>
      </c>
      <c r="C936" s="2" t="s">
        <v>372</v>
      </c>
      <c r="D936" s="2" t="s">
        <v>478</v>
      </c>
      <c r="E936" s="2" t="s">
        <v>119</v>
      </c>
      <c r="F936" s="2" t="s">
        <v>84</v>
      </c>
      <c r="G936" s="2" t="s">
        <v>3090</v>
      </c>
    </row>
    <row r="937" spans="1:26">
      <c r="A937" s="2" t="s">
        <v>2489</v>
      </c>
      <c r="B937" s="2" t="s">
        <v>81</v>
      </c>
      <c r="C937" s="2" t="s">
        <v>651</v>
      </c>
      <c r="D937" s="2" t="s">
        <v>224</v>
      </c>
      <c r="E937" s="2" t="s">
        <v>119</v>
      </c>
      <c r="F937" s="2" t="s">
        <v>84</v>
      </c>
      <c r="G937" s="2" t="s">
        <v>3090</v>
      </c>
    </row>
    <row r="938" spans="1:26">
      <c r="A938" s="2" t="s">
        <v>2490</v>
      </c>
      <c r="B938" s="2" t="s">
        <v>81</v>
      </c>
      <c r="C938" s="2" t="s">
        <v>117</v>
      </c>
      <c r="D938" s="2" t="s">
        <v>662</v>
      </c>
      <c r="E938" s="2" t="s">
        <v>119</v>
      </c>
      <c r="F938" s="2" t="s">
        <v>84</v>
      </c>
      <c r="G938" s="2" t="s">
        <v>3090</v>
      </c>
    </row>
    <row r="939" spans="1:26">
      <c r="A939" s="2" t="s">
        <v>2491</v>
      </c>
      <c r="B939" s="2" t="s">
        <v>81</v>
      </c>
      <c r="C939" s="2" t="s">
        <v>117</v>
      </c>
      <c r="D939" s="2" t="s">
        <v>588</v>
      </c>
      <c r="E939" s="2" t="s">
        <v>119</v>
      </c>
      <c r="F939" s="2" t="s">
        <v>84</v>
      </c>
      <c r="G939" s="2" t="s">
        <v>3090</v>
      </c>
    </row>
    <row r="940" spans="1:26">
      <c r="A940" s="2" t="s">
        <v>2492</v>
      </c>
      <c r="B940" s="2" t="s">
        <v>81</v>
      </c>
      <c r="C940" s="2" t="s">
        <v>685</v>
      </c>
      <c r="D940" s="2" t="s">
        <v>686</v>
      </c>
      <c r="E940" s="2" t="s">
        <v>119</v>
      </c>
      <c r="F940" s="2" t="s">
        <v>84</v>
      </c>
      <c r="G940" s="2" t="s">
        <v>3090</v>
      </c>
    </row>
    <row r="941" spans="1:26">
      <c r="A941" s="2" t="s">
        <v>2493</v>
      </c>
      <c r="B941" s="2" t="s">
        <v>81</v>
      </c>
      <c r="C941" s="2" t="s">
        <v>117</v>
      </c>
      <c r="D941" s="2" t="s">
        <v>753</v>
      </c>
      <c r="E941" s="2" t="s">
        <v>119</v>
      </c>
      <c r="F941" s="2" t="s">
        <v>84</v>
      </c>
      <c r="G941" s="2" t="s">
        <v>3090</v>
      </c>
    </row>
    <row r="942" spans="1:26">
      <c r="A942" s="2" t="s">
        <v>2494</v>
      </c>
      <c r="B942" s="2" t="s">
        <v>81</v>
      </c>
      <c r="C942" s="2" t="s">
        <v>688</v>
      </c>
      <c r="D942" s="2" t="s">
        <v>790</v>
      </c>
      <c r="E942" s="2" t="s">
        <v>119</v>
      </c>
      <c r="F942" s="2" t="s">
        <v>84</v>
      </c>
      <c r="G942" s="2" t="s">
        <v>3090</v>
      </c>
    </row>
    <row r="943" spans="1:26">
      <c r="A943" s="2" t="s">
        <v>2495</v>
      </c>
      <c r="B943" s="2" t="s">
        <v>876</v>
      </c>
      <c r="C943" s="2"/>
      <c r="D943" s="2" t="s">
        <v>908</v>
      </c>
      <c r="E943" s="2" t="s">
        <v>42</v>
      </c>
      <c r="F943" s="2" t="s">
        <v>32</v>
      </c>
      <c r="G943" s="2" t="s">
        <v>2716</v>
      </c>
    </row>
    <row r="944" spans="1:26">
      <c r="A944" s="2" t="s">
        <v>2496</v>
      </c>
      <c r="B944" s="2" t="s">
        <v>876</v>
      </c>
      <c r="C944" s="2"/>
      <c r="D944" s="2" t="s">
        <v>932</v>
      </c>
      <c r="E944" s="2" t="s">
        <v>66</v>
      </c>
      <c r="F944" s="2" t="s">
        <v>32</v>
      </c>
      <c r="G944" s="2" t="s">
        <v>2719</v>
      </c>
    </row>
    <row r="945" spans="1:7">
      <c r="A945" s="2" t="s">
        <v>2497</v>
      </c>
      <c r="B945" s="2" t="s">
        <v>876</v>
      </c>
      <c r="C945" s="2"/>
      <c r="D945" s="2" t="s">
        <v>952</v>
      </c>
      <c r="E945" s="2" t="s">
        <v>66</v>
      </c>
      <c r="F945" s="2" t="s">
        <v>32</v>
      </c>
      <c r="G945" s="2" t="s">
        <v>2719</v>
      </c>
    </row>
    <row r="946" spans="1:7">
      <c r="A946" s="2" t="s">
        <v>2498</v>
      </c>
      <c r="B946" s="2" t="s">
        <v>876</v>
      </c>
      <c r="C946" s="2"/>
      <c r="D946" s="2" t="s">
        <v>968</v>
      </c>
      <c r="E946" s="2" t="s">
        <v>66</v>
      </c>
      <c r="F946" s="2" t="s">
        <v>32</v>
      </c>
      <c r="G946" s="2" t="s">
        <v>2719</v>
      </c>
    </row>
    <row r="947" spans="1:7">
      <c r="A947" s="2" t="s">
        <v>2499</v>
      </c>
      <c r="B947" s="2" t="s">
        <v>876</v>
      </c>
      <c r="C947" s="2"/>
      <c r="D947" s="2" t="s">
        <v>1032</v>
      </c>
      <c r="E947" s="2" t="s">
        <v>1033</v>
      </c>
      <c r="F947" s="2" t="s">
        <v>32</v>
      </c>
      <c r="G947" s="2" t="s">
        <v>2727</v>
      </c>
    </row>
    <row r="948" spans="1:7">
      <c r="A948" s="2" t="s">
        <v>2500</v>
      </c>
      <c r="B948" s="2" t="s">
        <v>876</v>
      </c>
      <c r="C948" s="2"/>
      <c r="D948" s="2" t="s">
        <v>1043</v>
      </c>
      <c r="E948" s="2" t="s">
        <v>1033</v>
      </c>
      <c r="F948" s="2" t="s">
        <v>32</v>
      </c>
      <c r="G948" s="2" t="s">
        <v>2727</v>
      </c>
    </row>
    <row r="949" spans="1:7">
      <c r="A949" s="2" t="s">
        <v>2501</v>
      </c>
      <c r="B949" s="2" t="s">
        <v>876</v>
      </c>
      <c r="C949" s="2"/>
      <c r="D949" s="2" t="s">
        <v>1068</v>
      </c>
      <c r="E949" s="2" t="s">
        <v>48</v>
      </c>
      <c r="F949" s="2" t="s">
        <v>32</v>
      </c>
      <c r="G949" s="2" t="s">
        <v>2728</v>
      </c>
    </row>
    <row r="950" spans="1:7">
      <c r="A950" s="2" t="s">
        <v>2502</v>
      </c>
      <c r="B950" s="2" t="s">
        <v>876</v>
      </c>
      <c r="C950" s="2"/>
      <c r="D950" s="2" t="s">
        <v>1126</v>
      </c>
      <c r="E950" s="2" t="s">
        <v>1127</v>
      </c>
      <c r="F950" s="2" t="s">
        <v>32</v>
      </c>
      <c r="G950" s="2" t="s">
        <v>2729</v>
      </c>
    </row>
    <row r="951" spans="1:7">
      <c r="A951" s="2" t="s">
        <v>2503</v>
      </c>
      <c r="B951" s="2" t="s">
        <v>876</v>
      </c>
      <c r="C951" s="2"/>
      <c r="D951" s="2" t="s">
        <v>1129</v>
      </c>
      <c r="E951" s="2" t="s">
        <v>242</v>
      </c>
      <c r="F951" s="2" t="s">
        <v>32</v>
      </c>
      <c r="G951" s="2" t="s">
        <v>2730</v>
      </c>
    </row>
    <row r="952" spans="1:7">
      <c r="A952" s="2" t="s">
        <v>2504</v>
      </c>
      <c r="B952" s="2" t="s">
        <v>876</v>
      </c>
      <c r="C952" s="2"/>
      <c r="D952" s="2" t="s">
        <v>1167</v>
      </c>
      <c r="E952" s="2" t="s">
        <v>930</v>
      </c>
      <c r="F952" s="2" t="s">
        <v>32</v>
      </c>
      <c r="G952" s="2" t="s">
        <v>2723</v>
      </c>
    </row>
    <row r="953" spans="1:7">
      <c r="A953" s="2" t="s">
        <v>2505</v>
      </c>
      <c r="B953" s="2" t="s">
        <v>876</v>
      </c>
      <c r="C953" s="2"/>
      <c r="D953" s="2" t="s">
        <v>1177</v>
      </c>
      <c r="E953" s="2" t="s">
        <v>48</v>
      </c>
      <c r="F953" s="2" t="s">
        <v>32</v>
      </c>
      <c r="G953" s="2" t="s">
        <v>2728</v>
      </c>
    </row>
    <row r="954" spans="1:7">
      <c r="A954" s="2" t="s">
        <v>2506</v>
      </c>
      <c r="B954" s="2" t="s">
        <v>876</v>
      </c>
      <c r="C954" s="2"/>
      <c r="D954" s="2" t="s">
        <v>500</v>
      </c>
      <c r="E954" s="2" t="s">
        <v>48</v>
      </c>
      <c r="F954" s="2" t="s">
        <v>32</v>
      </c>
      <c r="G954" s="2" t="s">
        <v>2728</v>
      </c>
    </row>
    <row r="955" spans="1:7">
      <c r="A955" s="2" t="s">
        <v>2507</v>
      </c>
      <c r="B955" s="2" t="s">
        <v>876</v>
      </c>
      <c r="C955" s="2"/>
      <c r="D955" s="2" t="s">
        <v>1227</v>
      </c>
      <c r="E955" s="2" t="s">
        <v>242</v>
      </c>
      <c r="F955" s="2" t="s">
        <v>32</v>
      </c>
      <c r="G955" s="2" t="s">
        <v>2730</v>
      </c>
    </row>
    <row r="956" spans="1:7">
      <c r="A956" s="2" t="s">
        <v>2508</v>
      </c>
      <c r="B956" s="2" t="s">
        <v>876</v>
      </c>
      <c r="C956" s="2"/>
      <c r="D956" s="2" t="s">
        <v>1277</v>
      </c>
      <c r="E956" s="2" t="s">
        <v>930</v>
      </c>
      <c r="F956" s="2" t="s">
        <v>32</v>
      </c>
      <c r="G956" s="2" t="s">
        <v>2723</v>
      </c>
    </row>
    <row r="957" spans="1:7">
      <c r="A957" s="2" t="s">
        <v>2509</v>
      </c>
      <c r="B957" s="2" t="s">
        <v>876</v>
      </c>
      <c r="C957" s="2"/>
      <c r="D957" s="2" t="s">
        <v>1447</v>
      </c>
      <c r="E957" s="2" t="s">
        <v>930</v>
      </c>
      <c r="F957" s="2" t="s">
        <v>32</v>
      </c>
      <c r="G957" s="2" t="s">
        <v>2723</v>
      </c>
    </row>
    <row r="958" spans="1:7">
      <c r="A958" s="2" t="s">
        <v>2510</v>
      </c>
      <c r="B958" s="2" t="s">
        <v>876</v>
      </c>
      <c r="C958" s="2"/>
      <c r="D958" s="2" t="s">
        <v>1524</v>
      </c>
      <c r="E958" s="2" t="s">
        <v>242</v>
      </c>
      <c r="F958" s="2" t="s">
        <v>32</v>
      </c>
      <c r="G958" s="2" t="s">
        <v>2730</v>
      </c>
    </row>
    <row r="959" spans="1:7">
      <c r="A959" s="2" t="s">
        <v>2511</v>
      </c>
      <c r="B959" s="2" t="s">
        <v>876</v>
      </c>
      <c r="C959" s="2"/>
      <c r="D959" s="2" t="s">
        <v>1492</v>
      </c>
      <c r="E959" s="2" t="s">
        <v>48</v>
      </c>
      <c r="F959" s="2" t="s">
        <v>32</v>
      </c>
      <c r="G959" s="2" t="s">
        <v>2728</v>
      </c>
    </row>
    <row r="960" spans="1:7">
      <c r="A960" s="2" t="s">
        <v>2512</v>
      </c>
      <c r="B960" s="2" t="s">
        <v>876</v>
      </c>
      <c r="C960" s="2"/>
      <c r="D960" s="2" t="s">
        <v>47</v>
      </c>
      <c r="E960" s="2" t="s">
        <v>48</v>
      </c>
      <c r="F960" s="2" t="s">
        <v>32</v>
      </c>
      <c r="G960" s="2" t="s">
        <v>2728</v>
      </c>
    </row>
    <row r="961" spans="1:7">
      <c r="A961" s="2" t="s">
        <v>2513</v>
      </c>
      <c r="B961" s="2" t="s">
        <v>876</v>
      </c>
      <c r="C961" s="2"/>
      <c r="D961" s="2" t="s">
        <v>1554</v>
      </c>
      <c r="E961" s="2" t="s">
        <v>242</v>
      </c>
      <c r="F961" s="2" t="s">
        <v>32</v>
      </c>
      <c r="G961" s="2" t="s">
        <v>2730</v>
      </c>
    </row>
    <row r="962" spans="1:7">
      <c r="A962" s="2" t="s">
        <v>2514</v>
      </c>
      <c r="B962" s="2" t="s">
        <v>876</v>
      </c>
      <c r="C962" s="2"/>
      <c r="D962" s="2" t="s">
        <v>1562</v>
      </c>
      <c r="E962" s="2" t="s">
        <v>930</v>
      </c>
      <c r="F962" s="2" t="s">
        <v>32</v>
      </c>
      <c r="G962" s="2" t="s">
        <v>2723</v>
      </c>
    </row>
    <row r="963" spans="1:7">
      <c r="A963" s="2" t="s">
        <v>2515</v>
      </c>
      <c r="B963" s="2" t="s">
        <v>876</v>
      </c>
      <c r="C963" s="2"/>
      <c r="D963" s="2" t="s">
        <v>1567</v>
      </c>
      <c r="E963" s="2" t="s">
        <v>930</v>
      </c>
      <c r="F963" s="2" t="s">
        <v>32</v>
      </c>
      <c r="G963" s="2" t="s">
        <v>2723</v>
      </c>
    </row>
    <row r="964" spans="1:7">
      <c r="A964" s="2" t="s">
        <v>2516</v>
      </c>
      <c r="B964" s="2" t="s">
        <v>876</v>
      </c>
      <c r="C964" s="2"/>
      <c r="D964" s="2" t="s">
        <v>1068</v>
      </c>
      <c r="E964" s="2" t="s">
        <v>1127</v>
      </c>
      <c r="F964" s="2" t="s">
        <v>32</v>
      </c>
      <c r="G964" s="2" t="s">
        <v>2729</v>
      </c>
    </row>
    <row r="965" spans="1:7">
      <c r="A965" s="2" t="s">
        <v>2517</v>
      </c>
      <c r="B965" s="2" t="s">
        <v>876</v>
      </c>
      <c r="C965" s="2"/>
      <c r="D965" s="2" t="s">
        <v>1552</v>
      </c>
      <c r="E965" s="2" t="s">
        <v>48</v>
      </c>
      <c r="F965" s="2" t="s">
        <v>32</v>
      </c>
      <c r="G965" s="2" t="s">
        <v>2728</v>
      </c>
    </row>
    <row r="966" spans="1:7">
      <c r="A966" s="2" t="s">
        <v>2518</v>
      </c>
      <c r="B966" s="2" t="s">
        <v>876</v>
      </c>
      <c r="C966" s="2"/>
      <c r="D966" s="2" t="s">
        <v>1577</v>
      </c>
      <c r="E966" s="2" t="s">
        <v>930</v>
      </c>
      <c r="F966" s="2" t="s">
        <v>32</v>
      </c>
      <c r="G966" s="2" t="s">
        <v>2723</v>
      </c>
    </row>
    <row r="967" spans="1:7">
      <c r="A967" s="2" t="s">
        <v>2519</v>
      </c>
      <c r="B967" s="2" t="s">
        <v>1582</v>
      </c>
      <c r="C967" s="2"/>
      <c r="D967" s="2"/>
      <c r="E967" s="2" t="s">
        <v>1585</v>
      </c>
      <c r="F967" s="2" t="s">
        <v>32</v>
      </c>
      <c r="G967" s="2" t="s">
        <v>3163</v>
      </c>
    </row>
    <row r="968" spans="1:7">
      <c r="A968" s="2" t="s">
        <v>2520</v>
      </c>
      <c r="B968" s="2" t="s">
        <v>1582</v>
      </c>
      <c r="C968" s="2"/>
      <c r="D968" s="2"/>
      <c r="E968" s="2" t="s">
        <v>940</v>
      </c>
      <c r="F968" s="2" t="s">
        <v>32</v>
      </c>
      <c r="G968" s="2" t="s">
        <v>2724</v>
      </c>
    </row>
    <row r="969" spans="1:7">
      <c r="A969" s="2" t="s">
        <v>2521</v>
      </c>
      <c r="B969" s="2" t="s">
        <v>1593</v>
      </c>
      <c r="C969" s="2"/>
      <c r="D969" s="2"/>
      <c r="E969" s="2" t="s">
        <v>1033</v>
      </c>
      <c r="F969" s="2" t="s">
        <v>32</v>
      </c>
      <c r="G969" s="2" t="s">
        <v>2727</v>
      </c>
    </row>
    <row r="970" spans="1:7">
      <c r="A970" s="2" t="s">
        <v>2522</v>
      </c>
      <c r="B970" s="2" t="s">
        <v>1593</v>
      </c>
      <c r="C970" s="2"/>
      <c r="D970" s="2"/>
      <c r="E970" s="2" t="s">
        <v>1603</v>
      </c>
      <c r="F970" s="2" t="s">
        <v>32</v>
      </c>
      <c r="G970" s="2" t="s">
        <v>3164</v>
      </c>
    </row>
    <row r="971" spans="1:7">
      <c r="A971" s="2" t="s">
        <v>2523</v>
      </c>
      <c r="B971" s="2" t="s">
        <v>1593</v>
      </c>
      <c r="C971" s="2"/>
      <c r="D971" s="2"/>
      <c r="E971" s="2" t="s">
        <v>1608</v>
      </c>
      <c r="F971" s="2" t="s">
        <v>32</v>
      </c>
      <c r="G971" s="2" t="s">
        <v>3165</v>
      </c>
    </row>
    <row r="972" spans="1:7">
      <c r="A972" s="2" t="s">
        <v>2524</v>
      </c>
      <c r="B972" s="2" t="s">
        <v>1593</v>
      </c>
      <c r="C972" s="2"/>
      <c r="D972" s="2"/>
      <c r="E972" s="2" t="s">
        <v>1612</v>
      </c>
      <c r="F972" s="2" t="s">
        <v>32</v>
      </c>
      <c r="G972" s="2" t="s">
        <v>3166</v>
      </c>
    </row>
    <row r="973" spans="1:7">
      <c r="A973" s="2" t="s">
        <v>2525</v>
      </c>
      <c r="B973" s="2" t="s">
        <v>1593</v>
      </c>
      <c r="C973" s="2"/>
      <c r="D973" s="2"/>
      <c r="E973" s="2" t="s">
        <v>711</v>
      </c>
      <c r="F973" s="2" t="s">
        <v>32</v>
      </c>
      <c r="G973" s="2" t="s">
        <v>3121</v>
      </c>
    </row>
    <row r="974" spans="1:7">
      <c r="A974" s="3" t="s">
        <v>2526</v>
      </c>
      <c r="B974" s="3" t="s">
        <v>81</v>
      </c>
      <c r="C974" s="3" t="s">
        <v>554</v>
      </c>
      <c r="D974" s="3" t="s">
        <v>402</v>
      </c>
      <c r="E974" s="3"/>
      <c r="F974" s="3" t="s">
        <v>84</v>
      </c>
      <c r="G974" s="3" t="s">
        <v>3085</v>
      </c>
    </row>
    <row r="975" spans="1:7">
      <c r="A975" s="3" t="s">
        <v>2527</v>
      </c>
      <c r="B975" s="3" t="s">
        <v>81</v>
      </c>
      <c r="C975" s="3" t="s">
        <v>448</v>
      </c>
      <c r="D975" s="3" t="s">
        <v>462</v>
      </c>
      <c r="E975" s="3"/>
      <c r="F975" s="3" t="s">
        <v>84</v>
      </c>
      <c r="G975" s="3" t="s">
        <v>3087</v>
      </c>
    </row>
    <row r="976" spans="1:7">
      <c r="A976" s="3" t="s">
        <v>2528</v>
      </c>
      <c r="B976" s="3" t="s">
        <v>81</v>
      </c>
      <c r="C976" s="3" t="s">
        <v>801</v>
      </c>
      <c r="D976" s="3" t="s">
        <v>802</v>
      </c>
      <c r="E976" s="3"/>
      <c r="F976" s="3" t="s">
        <v>84</v>
      </c>
      <c r="G976" s="3" t="s">
        <v>3167</v>
      </c>
    </row>
    <row r="977" spans="1:7">
      <c r="A977" s="3" t="s">
        <v>2529</v>
      </c>
      <c r="B977" s="3" t="s">
        <v>81</v>
      </c>
      <c r="C977" s="3" t="s">
        <v>805</v>
      </c>
      <c r="D977" s="3" t="s">
        <v>59</v>
      </c>
      <c r="E977" s="3" t="s">
        <v>242</v>
      </c>
      <c r="F977" s="3" t="s">
        <v>32</v>
      </c>
      <c r="G977" s="3" t="s">
        <v>2730</v>
      </c>
    </row>
    <row r="978" spans="1:7">
      <c r="A978" s="3" t="s">
        <v>2530</v>
      </c>
      <c r="B978" s="3" t="s">
        <v>81</v>
      </c>
      <c r="C978" s="3" t="s">
        <v>514</v>
      </c>
      <c r="D978" s="3" t="s">
        <v>515</v>
      </c>
      <c r="E978" s="3" t="s">
        <v>807</v>
      </c>
      <c r="F978" s="3" t="s">
        <v>32</v>
      </c>
      <c r="G978" s="3" t="s">
        <v>3129</v>
      </c>
    </row>
    <row r="979" spans="1:7">
      <c r="A979" s="3" t="s">
        <v>2531</v>
      </c>
      <c r="B979" s="3" t="s">
        <v>81</v>
      </c>
      <c r="C979" s="3" t="s">
        <v>82</v>
      </c>
      <c r="D979" s="3" t="s">
        <v>810</v>
      </c>
      <c r="E979" s="3"/>
      <c r="F979" s="3" t="s">
        <v>84</v>
      </c>
      <c r="G979" s="3" t="s">
        <v>3041</v>
      </c>
    </row>
    <row r="980" spans="1:7">
      <c r="A980" s="3" t="s">
        <v>2532</v>
      </c>
      <c r="B980" s="3" t="s">
        <v>81</v>
      </c>
      <c r="C980" s="3" t="s">
        <v>246</v>
      </c>
      <c r="D980" s="3" t="s">
        <v>154</v>
      </c>
      <c r="E980" s="3"/>
      <c r="F980" s="3"/>
      <c r="G980" s="3" t="s">
        <v>3053</v>
      </c>
    </row>
    <row r="981" spans="1:7">
      <c r="A981" s="3" t="s">
        <v>2533</v>
      </c>
      <c r="B981" s="3" t="s">
        <v>81</v>
      </c>
      <c r="C981" s="3" t="s">
        <v>813</v>
      </c>
      <c r="D981" s="3" t="s">
        <v>343</v>
      </c>
      <c r="E981" s="3"/>
      <c r="F981" s="3" t="s">
        <v>84</v>
      </c>
      <c r="G981" s="3" t="s">
        <v>3077</v>
      </c>
    </row>
    <row r="982" spans="1:7">
      <c r="A982" s="3" t="s">
        <v>2534</v>
      </c>
      <c r="B982" s="3" t="s">
        <v>81</v>
      </c>
      <c r="C982" s="3" t="s">
        <v>123</v>
      </c>
      <c r="D982" s="3" t="s">
        <v>815</v>
      </c>
      <c r="E982" s="3"/>
      <c r="F982" s="3" t="s">
        <v>84</v>
      </c>
      <c r="G982" s="3" t="s">
        <v>3093</v>
      </c>
    </row>
    <row r="983" spans="1:7">
      <c r="A983" s="3" t="s">
        <v>2535</v>
      </c>
      <c r="B983" s="3" t="s">
        <v>81</v>
      </c>
      <c r="C983" s="3" t="s">
        <v>88</v>
      </c>
      <c r="D983" s="3" t="s">
        <v>247</v>
      </c>
      <c r="E983" s="3" t="s">
        <v>248</v>
      </c>
      <c r="F983" s="3" t="s">
        <v>84</v>
      </c>
      <c r="G983" s="3" t="s">
        <v>3042</v>
      </c>
    </row>
    <row r="984" spans="1:7">
      <c r="A984" s="3" t="s">
        <v>2536</v>
      </c>
      <c r="B984" s="3" t="s">
        <v>81</v>
      </c>
      <c r="C984" s="3" t="s">
        <v>111</v>
      </c>
      <c r="D984" s="3" t="s">
        <v>259</v>
      </c>
      <c r="E984" s="3" t="s">
        <v>183</v>
      </c>
      <c r="F984" s="3" t="s">
        <v>84</v>
      </c>
      <c r="G984" s="3" t="s">
        <v>3057</v>
      </c>
    </row>
    <row r="985" spans="1:7">
      <c r="A985" s="3" t="s">
        <v>2537</v>
      </c>
      <c r="B985" s="3" t="s">
        <v>81</v>
      </c>
      <c r="C985" s="3" t="s">
        <v>819</v>
      </c>
      <c r="D985" s="3" t="s">
        <v>820</v>
      </c>
      <c r="E985" s="3"/>
      <c r="F985" s="3" t="s">
        <v>84</v>
      </c>
      <c r="G985" s="3" t="s">
        <v>3168</v>
      </c>
    </row>
    <row r="986" spans="1:7">
      <c r="A986" s="3" t="s">
        <v>2538</v>
      </c>
      <c r="B986" s="3" t="s">
        <v>81</v>
      </c>
      <c r="C986" s="3" t="s">
        <v>88</v>
      </c>
      <c r="D986" s="3" t="s">
        <v>89</v>
      </c>
      <c r="E986" s="3" t="s">
        <v>492</v>
      </c>
      <c r="F986" s="3" t="s">
        <v>84</v>
      </c>
      <c r="G986" s="3" t="s">
        <v>3042</v>
      </c>
    </row>
    <row r="987" spans="1:7">
      <c r="A987" s="3" t="s">
        <v>2539</v>
      </c>
      <c r="B987" s="3" t="s">
        <v>81</v>
      </c>
      <c r="C987" s="3" t="s">
        <v>82</v>
      </c>
      <c r="D987" s="3" t="s">
        <v>825</v>
      </c>
      <c r="E987" s="3"/>
      <c r="F987" s="3" t="s">
        <v>84</v>
      </c>
      <c r="G987" s="3" t="s">
        <v>3041</v>
      </c>
    </row>
    <row r="988" spans="1:7">
      <c r="A988" s="3" t="s">
        <v>2540</v>
      </c>
      <c r="B988" s="3" t="s">
        <v>81</v>
      </c>
      <c r="C988" s="3" t="s">
        <v>133</v>
      </c>
      <c r="D988" s="3" t="s">
        <v>381</v>
      </c>
      <c r="E988" s="3"/>
      <c r="F988" s="3" t="s">
        <v>84</v>
      </c>
      <c r="G988" s="3" t="s">
        <v>3083</v>
      </c>
    </row>
    <row r="989" spans="1:7">
      <c r="A989" s="3" t="s">
        <v>2541</v>
      </c>
      <c r="B989" s="3" t="s">
        <v>81</v>
      </c>
      <c r="C989" s="3" t="s">
        <v>88</v>
      </c>
      <c r="D989" s="3" t="s">
        <v>89</v>
      </c>
      <c r="E989" s="3" t="s">
        <v>158</v>
      </c>
      <c r="F989" s="3" t="s">
        <v>84</v>
      </c>
      <c r="G989" s="3" t="s">
        <v>3042</v>
      </c>
    </row>
    <row r="990" spans="1:7">
      <c r="A990" s="3" t="s">
        <v>2542</v>
      </c>
      <c r="B990" s="3" t="s">
        <v>81</v>
      </c>
      <c r="C990" s="3" t="s">
        <v>829</v>
      </c>
      <c r="D990" s="3" t="s">
        <v>378</v>
      </c>
      <c r="E990" s="3" t="s">
        <v>197</v>
      </c>
      <c r="F990" s="3" t="s">
        <v>32</v>
      </c>
      <c r="G990" s="3" t="s">
        <v>3058</v>
      </c>
    </row>
    <row r="991" spans="1:7">
      <c r="A991" s="3" t="s">
        <v>2543</v>
      </c>
      <c r="B991" s="3" t="s">
        <v>81</v>
      </c>
      <c r="C991" s="3" t="s">
        <v>831</v>
      </c>
      <c r="D991" s="3" t="s">
        <v>832</v>
      </c>
      <c r="E991" s="3" t="s">
        <v>833</v>
      </c>
      <c r="F991" s="3" t="s">
        <v>84</v>
      </c>
      <c r="G991" s="3" t="s">
        <v>3169</v>
      </c>
    </row>
    <row r="992" spans="1:7">
      <c r="A992" s="3" t="s">
        <v>2544</v>
      </c>
      <c r="B992" s="3" t="s">
        <v>81</v>
      </c>
      <c r="C992" s="3" t="s">
        <v>837</v>
      </c>
      <c r="D992" s="3" t="s">
        <v>402</v>
      </c>
      <c r="E992" s="3"/>
      <c r="F992" s="3" t="s">
        <v>84</v>
      </c>
      <c r="G992" s="3" t="s">
        <v>3085</v>
      </c>
    </row>
    <row r="993" spans="1:7">
      <c r="A993" s="3" t="s">
        <v>2545</v>
      </c>
      <c r="B993" s="3" t="s">
        <v>81</v>
      </c>
      <c r="C993" s="3" t="s">
        <v>111</v>
      </c>
      <c r="D993" s="3" t="s">
        <v>259</v>
      </c>
      <c r="E993" s="3" t="s">
        <v>537</v>
      </c>
      <c r="F993" s="3" t="s">
        <v>84</v>
      </c>
      <c r="G993" s="3" t="s">
        <v>3075</v>
      </c>
    </row>
    <row r="994" spans="1:7">
      <c r="A994" s="3" t="s">
        <v>2546</v>
      </c>
      <c r="B994" s="3" t="s">
        <v>81</v>
      </c>
      <c r="C994" s="3" t="s">
        <v>82</v>
      </c>
      <c r="D994" s="3" t="s">
        <v>840</v>
      </c>
      <c r="E994" s="3"/>
      <c r="F994" s="3" t="s">
        <v>84</v>
      </c>
      <c r="G994" s="3" t="s">
        <v>3041</v>
      </c>
    </row>
    <row r="995" spans="1:7">
      <c r="A995" s="3" t="s">
        <v>2547</v>
      </c>
      <c r="B995" s="3" t="s">
        <v>81</v>
      </c>
      <c r="C995" s="3" t="s">
        <v>128</v>
      </c>
      <c r="D995" s="3" t="s">
        <v>842</v>
      </c>
      <c r="E995" s="3"/>
      <c r="F995" s="3" t="s">
        <v>84</v>
      </c>
      <c r="G995" s="3" t="s">
        <v>3170</v>
      </c>
    </row>
    <row r="996" spans="1:7">
      <c r="A996" s="3" t="s">
        <v>2548</v>
      </c>
      <c r="B996" s="3" t="s">
        <v>81</v>
      </c>
      <c r="C996" s="3" t="s">
        <v>846</v>
      </c>
      <c r="D996" s="3" t="s">
        <v>847</v>
      </c>
      <c r="E996" s="3" t="s">
        <v>119</v>
      </c>
      <c r="F996" s="3" t="s">
        <v>84</v>
      </c>
      <c r="G996" s="3" t="s">
        <v>3090</v>
      </c>
    </row>
    <row r="997" spans="1:7">
      <c r="A997" s="3" t="s">
        <v>2549</v>
      </c>
      <c r="B997" s="3" t="s">
        <v>81</v>
      </c>
      <c r="C997" s="3" t="s">
        <v>201</v>
      </c>
      <c r="D997" s="3" t="s">
        <v>849</v>
      </c>
      <c r="E997" s="3"/>
      <c r="F997" s="3" t="s">
        <v>84</v>
      </c>
      <c r="G997" s="3" t="s">
        <v>3059</v>
      </c>
    </row>
    <row r="998" spans="1:7">
      <c r="A998" s="3" t="s">
        <v>2550</v>
      </c>
      <c r="B998" s="3" t="s">
        <v>81</v>
      </c>
      <c r="C998" s="3" t="s">
        <v>851</v>
      </c>
      <c r="D998" s="3" t="s">
        <v>247</v>
      </c>
      <c r="E998" s="3" t="s">
        <v>248</v>
      </c>
      <c r="F998" s="3" t="s">
        <v>84</v>
      </c>
      <c r="G998" s="3" t="s">
        <v>3042</v>
      </c>
    </row>
    <row r="999" spans="1:7">
      <c r="A999" s="3" t="s">
        <v>2551</v>
      </c>
      <c r="B999" s="3" t="s">
        <v>81</v>
      </c>
      <c r="C999" s="3" t="s">
        <v>82</v>
      </c>
      <c r="D999" s="3" t="s">
        <v>853</v>
      </c>
      <c r="E999" s="3"/>
      <c r="F999" s="3" t="s">
        <v>84</v>
      </c>
      <c r="G999" s="3" t="s">
        <v>3041</v>
      </c>
    </row>
    <row r="1000" spans="1:7">
      <c r="A1000" s="3" t="s">
        <v>2552</v>
      </c>
      <c r="B1000" s="3" t="s">
        <v>81</v>
      </c>
      <c r="C1000" s="3" t="s">
        <v>170</v>
      </c>
      <c r="D1000" s="3" t="s">
        <v>794</v>
      </c>
      <c r="E1000" s="3" t="s">
        <v>795</v>
      </c>
      <c r="F1000" s="3" t="s">
        <v>84</v>
      </c>
      <c r="G1000" s="3" t="s">
        <v>3127</v>
      </c>
    </row>
    <row r="1001" spans="1:7">
      <c r="A1001" s="3" t="s">
        <v>2553</v>
      </c>
      <c r="B1001" s="3" t="s">
        <v>81</v>
      </c>
      <c r="C1001" s="3" t="s">
        <v>170</v>
      </c>
      <c r="D1001" s="3" t="s">
        <v>856</v>
      </c>
      <c r="E1001" s="3" t="s">
        <v>857</v>
      </c>
      <c r="F1001" s="3" t="s">
        <v>84</v>
      </c>
      <c r="G1001" s="3" t="s">
        <v>3127</v>
      </c>
    </row>
    <row r="1002" spans="1:7">
      <c r="A1002" s="3" t="s">
        <v>2554</v>
      </c>
      <c r="B1002" s="3" t="s">
        <v>81</v>
      </c>
      <c r="C1002" s="3" t="s">
        <v>358</v>
      </c>
      <c r="D1002" s="3" t="s">
        <v>134</v>
      </c>
      <c r="E1002" s="3" t="s">
        <v>636</v>
      </c>
      <c r="F1002" s="3" t="s">
        <v>84</v>
      </c>
      <c r="G1002" s="3" t="s">
        <v>3049</v>
      </c>
    </row>
    <row r="1003" spans="1:7">
      <c r="A1003" s="3" t="s">
        <v>2555</v>
      </c>
      <c r="B1003" s="3" t="s">
        <v>81</v>
      </c>
      <c r="C1003" s="3" t="s">
        <v>860</v>
      </c>
      <c r="D1003" s="3" t="s">
        <v>387</v>
      </c>
      <c r="E1003" s="3" t="s">
        <v>119</v>
      </c>
      <c r="F1003" s="3" t="s">
        <v>84</v>
      </c>
      <c r="G1003" s="3" t="s">
        <v>3090</v>
      </c>
    </row>
    <row r="1004" spans="1:7">
      <c r="A1004" s="3" t="s">
        <v>2556</v>
      </c>
      <c r="B1004" s="3" t="s">
        <v>81</v>
      </c>
      <c r="C1004" s="3" t="s">
        <v>270</v>
      </c>
      <c r="D1004" s="3" t="s">
        <v>271</v>
      </c>
      <c r="E1004" s="3" t="s">
        <v>862</v>
      </c>
      <c r="F1004" s="3" t="s">
        <v>84</v>
      </c>
      <c r="G1004" s="3" t="s">
        <v>3067</v>
      </c>
    </row>
    <row r="1005" spans="1:7">
      <c r="A1005" s="3" t="s">
        <v>2557</v>
      </c>
      <c r="B1005" s="3" t="s">
        <v>876</v>
      </c>
      <c r="C1005" s="3"/>
      <c r="D1005" s="3"/>
      <c r="E1005" s="3" t="s">
        <v>218</v>
      </c>
      <c r="F1005" s="3" t="s">
        <v>219</v>
      </c>
      <c r="G1005" s="3" t="s">
        <v>1623</v>
      </c>
    </row>
    <row r="1006" spans="1:7">
      <c r="A1006" s="3" t="s">
        <v>2558</v>
      </c>
      <c r="B1006" s="3" t="s">
        <v>876</v>
      </c>
      <c r="C1006" s="3"/>
      <c r="D1006" s="3"/>
      <c r="E1006" s="3" t="s">
        <v>1624</v>
      </c>
      <c r="F1006" s="3" t="s">
        <v>1625</v>
      </c>
      <c r="G1006" s="3" t="s">
        <v>1626</v>
      </c>
    </row>
    <row r="1007" spans="1:7">
      <c r="A1007" s="3" t="s">
        <v>2559</v>
      </c>
      <c r="B1007" s="3" t="s">
        <v>876</v>
      </c>
      <c r="C1007" s="3"/>
      <c r="D1007" s="3"/>
      <c r="E1007" s="3" t="s">
        <v>1627</v>
      </c>
      <c r="F1007" s="3" t="s">
        <v>32</v>
      </c>
      <c r="G1007" s="3" t="s">
        <v>1628</v>
      </c>
    </row>
    <row r="1008" spans="1:7">
      <c r="A1008" s="3" t="s">
        <v>2560</v>
      </c>
      <c r="B1008" s="3" t="s">
        <v>876</v>
      </c>
      <c r="C1008" s="3"/>
      <c r="D1008" s="3"/>
      <c r="E1008" s="3" t="s">
        <v>1629</v>
      </c>
      <c r="F1008" s="3" t="s">
        <v>32</v>
      </c>
      <c r="G1008" s="3" t="s">
        <v>1630</v>
      </c>
    </row>
    <row r="1009" spans="1:7">
      <c r="A1009" s="3" t="s">
        <v>2561</v>
      </c>
      <c r="B1009" s="3" t="s">
        <v>876</v>
      </c>
      <c r="C1009" s="3"/>
      <c r="D1009" s="3"/>
      <c r="E1009" s="3" t="s">
        <v>242</v>
      </c>
      <c r="F1009" s="3" t="s">
        <v>32</v>
      </c>
      <c r="G1009" s="3" t="s">
        <v>1631</v>
      </c>
    </row>
    <row r="1010" spans="1:7">
      <c r="A1010" s="3" t="s">
        <v>2562</v>
      </c>
      <c r="B1010" s="3" t="s">
        <v>876</v>
      </c>
      <c r="C1010" s="3"/>
      <c r="D1010" s="3"/>
      <c r="E1010" s="3" t="s">
        <v>1632</v>
      </c>
      <c r="F1010" s="3" t="s">
        <v>32</v>
      </c>
      <c r="G1010" s="3" t="s">
        <v>1633</v>
      </c>
    </row>
    <row r="1011" spans="1:7">
      <c r="A1011" s="3" t="s">
        <v>2563</v>
      </c>
      <c r="B1011" s="3" t="s">
        <v>876</v>
      </c>
      <c r="C1011" s="3"/>
      <c r="D1011" s="3"/>
      <c r="E1011" s="3" t="s">
        <v>1634</v>
      </c>
      <c r="F1011" s="3" t="s">
        <v>32</v>
      </c>
      <c r="G1011" s="3" t="s">
        <v>1635</v>
      </c>
    </row>
    <row r="1012" spans="1:7">
      <c r="A1012" s="3" t="s">
        <v>2564</v>
      </c>
      <c r="B1012" s="3" t="s">
        <v>876</v>
      </c>
      <c r="C1012" s="3"/>
      <c r="D1012" s="3"/>
      <c r="E1012" s="3" t="s">
        <v>1636</v>
      </c>
      <c r="F1012" s="3" t="s">
        <v>32</v>
      </c>
      <c r="G1012" s="3" t="s">
        <v>1637</v>
      </c>
    </row>
    <row r="1013" spans="1:7">
      <c r="A1013" s="3" t="s">
        <v>2565</v>
      </c>
      <c r="B1013" s="3" t="s">
        <v>876</v>
      </c>
      <c r="C1013" s="3"/>
      <c r="D1013" s="3"/>
      <c r="E1013" s="3" t="s">
        <v>1638</v>
      </c>
      <c r="F1013" s="3" t="s">
        <v>32</v>
      </c>
      <c r="G1013" s="3" t="s">
        <v>1639</v>
      </c>
    </row>
    <row r="1014" spans="1:7">
      <c r="A1014" s="3" t="s">
        <v>2566</v>
      </c>
      <c r="B1014" s="3" t="s">
        <v>876</v>
      </c>
      <c r="C1014" s="3"/>
      <c r="D1014" s="3"/>
      <c r="E1014" s="3" t="s">
        <v>1640</v>
      </c>
      <c r="F1014" s="3" t="s">
        <v>32</v>
      </c>
      <c r="G1014" s="3" t="s">
        <v>1641</v>
      </c>
    </row>
    <row r="1015" spans="1:7">
      <c r="A1015" s="3" t="s">
        <v>2567</v>
      </c>
      <c r="B1015" s="3" t="s">
        <v>876</v>
      </c>
      <c r="C1015" s="3"/>
      <c r="D1015" s="3"/>
      <c r="E1015" s="3" t="s">
        <v>1642</v>
      </c>
      <c r="F1015" s="3" t="s">
        <v>32</v>
      </c>
      <c r="G1015" s="3" t="s">
        <v>1643</v>
      </c>
    </row>
    <row r="1016" spans="1:7">
      <c r="A1016" s="3" t="s">
        <v>2568</v>
      </c>
      <c r="B1016" s="3" t="s">
        <v>876</v>
      </c>
      <c r="C1016" s="3"/>
      <c r="D1016" s="3"/>
      <c r="E1016" s="3" t="s">
        <v>1644</v>
      </c>
      <c r="F1016" s="3" t="s">
        <v>32</v>
      </c>
      <c r="G1016" s="3" t="s">
        <v>1645</v>
      </c>
    </row>
    <row r="1017" spans="1:7">
      <c r="A1017" s="3" t="s">
        <v>2569</v>
      </c>
      <c r="B1017" s="3" t="s">
        <v>876</v>
      </c>
      <c r="C1017" s="3"/>
      <c r="D1017" s="3"/>
      <c r="E1017" s="3" t="s">
        <v>1646</v>
      </c>
      <c r="F1017" s="3" t="s">
        <v>32</v>
      </c>
      <c r="G1017" s="3" t="s">
        <v>1647</v>
      </c>
    </row>
    <row r="1018" spans="1:7">
      <c r="A1018" s="3" t="s">
        <v>2570</v>
      </c>
      <c r="B1018" s="3" t="s">
        <v>876</v>
      </c>
      <c r="C1018" s="3"/>
      <c r="D1018" s="3"/>
      <c r="E1018" s="3" t="s">
        <v>1648</v>
      </c>
      <c r="F1018" s="3" t="s">
        <v>32</v>
      </c>
      <c r="G1018" s="3" t="s">
        <v>1649</v>
      </c>
    </row>
    <row r="1019" spans="1:7">
      <c r="A1019" s="3" t="s">
        <v>2571</v>
      </c>
      <c r="B1019" s="3" t="s">
        <v>876</v>
      </c>
      <c r="C1019" s="3"/>
      <c r="D1019" s="3"/>
      <c r="E1019" s="3" t="s">
        <v>1650</v>
      </c>
      <c r="F1019" s="3" t="s">
        <v>32</v>
      </c>
      <c r="G1019" s="3" t="s">
        <v>1651</v>
      </c>
    </row>
    <row r="1020" spans="1:7">
      <c r="A1020" s="3" t="s">
        <v>2572</v>
      </c>
      <c r="B1020" s="3" t="s">
        <v>876</v>
      </c>
      <c r="C1020" s="3"/>
      <c r="D1020" s="3"/>
      <c r="E1020" s="3" t="s">
        <v>1652</v>
      </c>
      <c r="F1020" s="3" t="s">
        <v>32</v>
      </c>
      <c r="G1020" s="3" t="s">
        <v>1653</v>
      </c>
    </row>
    <row r="1021" spans="1:7">
      <c r="A1021" s="3" t="s">
        <v>2573</v>
      </c>
      <c r="B1021" s="3" t="s">
        <v>876</v>
      </c>
      <c r="C1021" s="3"/>
      <c r="D1021" s="3"/>
      <c r="E1021" s="3" t="s">
        <v>1654</v>
      </c>
      <c r="F1021" s="3" t="s">
        <v>32</v>
      </c>
      <c r="G1021" s="3" t="s">
        <v>1655</v>
      </c>
    </row>
    <row r="1022" spans="1:7">
      <c r="A1022" s="3" t="s">
        <v>2574</v>
      </c>
      <c r="B1022" s="3" t="s">
        <v>876</v>
      </c>
      <c r="C1022" s="3"/>
      <c r="D1022" s="3"/>
      <c r="E1022" s="3" t="s">
        <v>1656</v>
      </c>
      <c r="F1022" s="3" t="s">
        <v>32</v>
      </c>
      <c r="G1022" s="3" t="s">
        <v>1657</v>
      </c>
    </row>
    <row r="1023" spans="1:7">
      <c r="A1023" s="3" t="s">
        <v>2575</v>
      </c>
      <c r="B1023" s="3" t="s">
        <v>876</v>
      </c>
      <c r="C1023" s="3"/>
      <c r="D1023" s="3"/>
      <c r="E1023" s="3" t="s">
        <v>1658</v>
      </c>
      <c r="F1023" s="3" t="s">
        <v>32</v>
      </c>
      <c r="G1023" s="3" t="s">
        <v>1659</v>
      </c>
    </row>
    <row r="1024" spans="1:7">
      <c r="A1024" s="3" t="s">
        <v>2576</v>
      </c>
      <c r="B1024" s="3" t="s">
        <v>876</v>
      </c>
      <c r="C1024" s="3"/>
      <c r="D1024" s="3"/>
      <c r="E1024" s="3" t="s">
        <v>1660</v>
      </c>
      <c r="F1024" s="3" t="s">
        <v>32</v>
      </c>
      <c r="G1024" s="3" t="s">
        <v>1661</v>
      </c>
    </row>
    <row r="1025" spans="1:7">
      <c r="A1025" s="3" t="s">
        <v>2577</v>
      </c>
      <c r="B1025" s="3" t="s">
        <v>876</v>
      </c>
      <c r="C1025" s="3"/>
      <c r="D1025" s="3"/>
      <c r="E1025" s="3" t="s">
        <v>1662</v>
      </c>
      <c r="F1025" s="3" t="s">
        <v>32</v>
      </c>
      <c r="G1025" s="3" t="s">
        <v>1663</v>
      </c>
    </row>
    <row r="1026" spans="1:7">
      <c r="A1026" s="3" t="s">
        <v>2578</v>
      </c>
      <c r="B1026" s="3" t="s">
        <v>876</v>
      </c>
      <c r="C1026" s="3"/>
      <c r="D1026" s="3"/>
      <c r="E1026" s="3" t="s">
        <v>1664</v>
      </c>
      <c r="F1026" s="3" t="s">
        <v>32</v>
      </c>
      <c r="G1026" s="3" t="s">
        <v>1665</v>
      </c>
    </row>
    <row r="1027" spans="1:7">
      <c r="A1027" s="3" t="s">
        <v>2579</v>
      </c>
      <c r="B1027" s="3" t="s">
        <v>876</v>
      </c>
      <c r="C1027" s="3"/>
      <c r="D1027" s="3"/>
      <c r="E1027" s="3" t="s">
        <v>1666</v>
      </c>
      <c r="F1027" s="3" t="s">
        <v>32</v>
      </c>
      <c r="G1027" s="3" t="s">
        <v>1667</v>
      </c>
    </row>
    <row r="1028" spans="1:7">
      <c r="A1028" s="3" t="s">
        <v>2580</v>
      </c>
      <c r="B1028" s="3" t="s">
        <v>876</v>
      </c>
      <c r="C1028" s="3"/>
      <c r="D1028" s="3"/>
      <c r="E1028" s="3" t="s">
        <v>1668</v>
      </c>
      <c r="F1028" s="3" t="s">
        <v>32</v>
      </c>
      <c r="G1028" s="3" t="s">
        <v>1669</v>
      </c>
    </row>
    <row r="1029" spans="1:7">
      <c r="A1029" s="3" t="s">
        <v>2581</v>
      </c>
      <c r="B1029" s="3" t="s">
        <v>876</v>
      </c>
      <c r="C1029" s="3"/>
      <c r="D1029" s="3"/>
      <c r="E1029" s="3" t="s">
        <v>1670</v>
      </c>
      <c r="F1029" s="3" t="s">
        <v>32</v>
      </c>
      <c r="G1029" s="3" t="s">
        <v>1671</v>
      </c>
    </row>
    <row r="1030" spans="1:7">
      <c r="A1030" s="3" t="s">
        <v>2582</v>
      </c>
      <c r="B1030" s="3" t="s">
        <v>876</v>
      </c>
      <c r="C1030" s="3"/>
      <c r="D1030" s="3"/>
      <c r="E1030" s="3" t="s">
        <v>1672</v>
      </c>
      <c r="F1030" s="3" t="s">
        <v>32</v>
      </c>
      <c r="G1030" s="3" t="s">
        <v>1673</v>
      </c>
    </row>
    <row r="1031" spans="1:7">
      <c r="A1031" s="3" t="s">
        <v>2583</v>
      </c>
      <c r="B1031" s="3" t="s">
        <v>876</v>
      </c>
      <c r="C1031" s="3"/>
      <c r="D1031" s="3"/>
      <c r="E1031" s="3" t="s">
        <v>1674</v>
      </c>
      <c r="F1031" s="3" t="s">
        <v>32</v>
      </c>
      <c r="G1031" s="3" t="s">
        <v>1675</v>
      </c>
    </row>
    <row r="1032" spans="1:7">
      <c r="A1032" s="3" t="s">
        <v>2584</v>
      </c>
      <c r="B1032" s="3" t="s">
        <v>876</v>
      </c>
      <c r="C1032" s="3"/>
      <c r="D1032" s="3"/>
      <c r="E1032" s="3" t="s">
        <v>1676</v>
      </c>
      <c r="F1032" s="3" t="s">
        <v>32</v>
      </c>
      <c r="G1032" s="3" t="s">
        <v>1677</v>
      </c>
    </row>
    <row r="1033" spans="1:7">
      <c r="A1033" s="3" t="s">
        <v>2585</v>
      </c>
      <c r="B1033" s="3" t="s">
        <v>876</v>
      </c>
      <c r="C1033" s="3"/>
      <c r="D1033" s="3"/>
      <c r="E1033" s="3" t="s">
        <v>1678</v>
      </c>
      <c r="F1033" s="3" t="s">
        <v>32</v>
      </c>
      <c r="G1033" s="3" t="s">
        <v>1679</v>
      </c>
    </row>
    <row r="1034" spans="1:7">
      <c r="A1034" s="3" t="s">
        <v>2586</v>
      </c>
      <c r="B1034" s="3" t="s">
        <v>876</v>
      </c>
      <c r="C1034" s="3"/>
      <c r="D1034" s="3"/>
      <c r="E1034" s="3" t="s">
        <v>1680</v>
      </c>
      <c r="F1034" s="3" t="s">
        <v>32</v>
      </c>
      <c r="G1034" s="3" t="s">
        <v>1681</v>
      </c>
    </row>
    <row r="1035" spans="1:7">
      <c r="A1035" s="3" t="s">
        <v>2587</v>
      </c>
      <c r="B1035" s="3" t="s">
        <v>876</v>
      </c>
      <c r="C1035" s="3"/>
      <c r="D1035" s="3"/>
      <c r="E1035" s="3" t="s">
        <v>1682</v>
      </c>
      <c r="F1035" s="3" t="s">
        <v>32</v>
      </c>
      <c r="G1035" s="3" t="s">
        <v>1683</v>
      </c>
    </row>
    <row r="1036" spans="1:7">
      <c r="A1036" s="3" t="s">
        <v>2588</v>
      </c>
      <c r="B1036" s="3" t="s">
        <v>876</v>
      </c>
      <c r="C1036" s="3"/>
      <c r="D1036" s="3"/>
      <c r="E1036" s="3" t="s">
        <v>1684</v>
      </c>
      <c r="F1036" s="3" t="s">
        <v>32</v>
      </c>
      <c r="G1036" s="3" t="s">
        <v>1685</v>
      </c>
    </row>
    <row r="1037" spans="1:7">
      <c r="A1037" s="3" t="s">
        <v>2589</v>
      </c>
      <c r="B1037" s="3" t="s">
        <v>876</v>
      </c>
      <c r="C1037" s="3"/>
      <c r="D1037" s="3"/>
      <c r="E1037" s="3" t="s">
        <v>1686</v>
      </c>
      <c r="F1037" s="3" t="s">
        <v>32</v>
      </c>
      <c r="G1037" s="3" t="s">
        <v>1687</v>
      </c>
    </row>
    <row r="1038" spans="1:7">
      <c r="A1038" s="3" t="s">
        <v>2590</v>
      </c>
      <c r="B1038" s="3" t="s">
        <v>876</v>
      </c>
      <c r="C1038" s="3"/>
      <c r="D1038" s="3"/>
      <c r="E1038" s="3" t="s">
        <v>1688</v>
      </c>
      <c r="F1038" s="3" t="s">
        <v>32</v>
      </c>
      <c r="G1038" s="3" t="s">
        <v>1689</v>
      </c>
    </row>
    <row r="1039" spans="1:7">
      <c r="A1039" s="3" t="s">
        <v>2591</v>
      </c>
      <c r="B1039" s="3" t="s">
        <v>876</v>
      </c>
      <c r="C1039" s="3"/>
      <c r="D1039" s="3"/>
      <c r="E1039" s="3" t="s">
        <v>1690</v>
      </c>
      <c r="F1039" s="3" t="s">
        <v>32</v>
      </c>
      <c r="G1039" s="3" t="s">
        <v>1691</v>
      </c>
    </row>
    <row r="1040" spans="1:7">
      <c r="A1040" s="3" t="s">
        <v>2592</v>
      </c>
      <c r="B1040" s="3" t="s">
        <v>876</v>
      </c>
      <c r="C1040" s="3"/>
      <c r="D1040" s="3"/>
      <c r="E1040" s="3" t="s">
        <v>1692</v>
      </c>
      <c r="F1040" s="3" t="s">
        <v>32</v>
      </c>
      <c r="G1040" s="3" t="s">
        <v>1693</v>
      </c>
    </row>
    <row r="1041" spans="1:7">
      <c r="A1041" s="3" t="s">
        <v>2593</v>
      </c>
      <c r="B1041" s="3" t="s">
        <v>876</v>
      </c>
      <c r="C1041" s="3"/>
      <c r="D1041" s="3"/>
      <c r="E1041" s="3" t="s">
        <v>1694</v>
      </c>
      <c r="F1041" s="3" t="s">
        <v>32</v>
      </c>
      <c r="G1041" s="3" t="s">
        <v>1695</v>
      </c>
    </row>
    <row r="1042" spans="1:7">
      <c r="A1042" s="3" t="s">
        <v>2594</v>
      </c>
      <c r="B1042" s="3" t="s">
        <v>876</v>
      </c>
      <c r="C1042" s="3"/>
      <c r="D1042" s="3"/>
      <c r="E1042" s="3" t="s">
        <v>1696</v>
      </c>
      <c r="F1042" s="3" t="s">
        <v>32</v>
      </c>
      <c r="G1042" s="3" t="s">
        <v>1697</v>
      </c>
    </row>
    <row r="1043" spans="1:7">
      <c r="A1043" s="3" t="s">
        <v>2595</v>
      </c>
      <c r="B1043" s="3" t="s">
        <v>876</v>
      </c>
      <c r="C1043" s="3"/>
      <c r="D1043" s="3"/>
      <c r="E1043" s="3" t="s">
        <v>1698</v>
      </c>
      <c r="F1043" s="3" t="s">
        <v>32</v>
      </c>
      <c r="G1043" s="3" t="s">
        <v>1699</v>
      </c>
    </row>
    <row r="1044" spans="1:7">
      <c r="A1044" s="3" t="s">
        <v>2596</v>
      </c>
      <c r="B1044" s="3" t="s">
        <v>876</v>
      </c>
      <c r="C1044" s="3"/>
      <c r="D1044" s="3"/>
      <c r="E1044" s="3" t="s">
        <v>1700</v>
      </c>
      <c r="F1044" s="3" t="s">
        <v>32</v>
      </c>
      <c r="G1044" s="3" t="s">
        <v>1701</v>
      </c>
    </row>
    <row r="1045" spans="1:7">
      <c r="A1045" s="3" t="s">
        <v>2597</v>
      </c>
      <c r="B1045" s="3" t="s">
        <v>876</v>
      </c>
      <c r="C1045" s="3"/>
      <c r="D1045" s="3"/>
      <c r="E1045" s="3" t="s">
        <v>1702</v>
      </c>
      <c r="F1045" s="3" t="s">
        <v>32</v>
      </c>
      <c r="G1045" s="3" t="s">
        <v>1703</v>
      </c>
    </row>
    <row r="1046" spans="1:7">
      <c r="A1046" s="3" t="s">
        <v>2598</v>
      </c>
      <c r="B1046" s="3" t="s">
        <v>876</v>
      </c>
      <c r="C1046" s="3"/>
      <c r="D1046" s="3"/>
      <c r="E1046" s="3" t="s">
        <v>1704</v>
      </c>
      <c r="F1046" s="3" t="s">
        <v>32</v>
      </c>
      <c r="G1046" s="3" t="s">
        <v>1705</v>
      </c>
    </row>
    <row r="1047" spans="1:7">
      <c r="A1047" s="3" t="s">
        <v>2599</v>
      </c>
      <c r="B1047" s="3" t="s">
        <v>876</v>
      </c>
      <c r="C1047" s="3"/>
      <c r="D1047" s="3"/>
      <c r="E1047" s="3" t="s">
        <v>1706</v>
      </c>
      <c r="F1047" s="3" t="s">
        <v>32</v>
      </c>
      <c r="G1047" s="3" t="s">
        <v>1707</v>
      </c>
    </row>
    <row r="1048" spans="1:7">
      <c r="A1048" s="3" t="s">
        <v>2600</v>
      </c>
      <c r="B1048" s="3" t="s">
        <v>876</v>
      </c>
      <c r="C1048" s="3"/>
      <c r="D1048" s="3"/>
      <c r="E1048" s="3" t="s">
        <v>1708</v>
      </c>
      <c r="F1048" s="3" t="s">
        <v>32</v>
      </c>
      <c r="G1048" s="3" t="s">
        <v>1709</v>
      </c>
    </row>
    <row r="1049" spans="1:7">
      <c r="A1049" s="3" t="s">
        <v>2601</v>
      </c>
      <c r="B1049" s="3" t="s">
        <v>876</v>
      </c>
      <c r="C1049" s="3"/>
      <c r="D1049" s="3"/>
      <c r="E1049" s="3" t="s">
        <v>1710</v>
      </c>
      <c r="F1049" s="3" t="s">
        <v>32</v>
      </c>
      <c r="G1049" s="3" t="s">
        <v>1711</v>
      </c>
    </row>
    <row r="1050" spans="1:7">
      <c r="A1050" s="3" t="s">
        <v>2602</v>
      </c>
      <c r="B1050" s="3" t="s">
        <v>876</v>
      </c>
      <c r="C1050" s="3"/>
      <c r="D1050" s="3"/>
      <c r="E1050" s="3" t="s">
        <v>1712</v>
      </c>
      <c r="F1050" s="3" t="s">
        <v>32</v>
      </c>
      <c r="G1050" s="3" t="s">
        <v>1713</v>
      </c>
    </row>
    <row r="1051" spans="1:7">
      <c r="A1051" s="3" t="s">
        <v>2603</v>
      </c>
      <c r="B1051" s="3" t="s">
        <v>876</v>
      </c>
      <c r="C1051" s="3"/>
      <c r="D1051" s="3"/>
      <c r="E1051" s="3" t="s">
        <v>1714</v>
      </c>
      <c r="F1051" s="3" t="s">
        <v>32</v>
      </c>
      <c r="G1051" s="3" t="s">
        <v>1715</v>
      </c>
    </row>
    <row r="1052" spans="1:7">
      <c r="A1052" s="3" t="s">
        <v>2604</v>
      </c>
      <c r="B1052" s="3" t="s">
        <v>876</v>
      </c>
      <c r="C1052" s="3"/>
      <c r="D1052" s="3"/>
      <c r="E1052" s="3" t="s">
        <v>1716</v>
      </c>
      <c r="F1052" s="3" t="s">
        <v>32</v>
      </c>
      <c r="G1052" s="3" t="s">
        <v>1717</v>
      </c>
    </row>
    <row r="1053" spans="1:7">
      <c r="A1053" s="3" t="s">
        <v>2605</v>
      </c>
      <c r="B1053" s="3" t="s">
        <v>876</v>
      </c>
      <c r="C1053" s="3"/>
      <c r="D1053" s="3"/>
      <c r="E1053" s="3" t="s">
        <v>1718</v>
      </c>
      <c r="F1053" s="3" t="s">
        <v>32</v>
      </c>
      <c r="G1053" s="3" t="s">
        <v>1719</v>
      </c>
    </row>
    <row r="1054" spans="1:7">
      <c r="A1054" s="3" t="s">
        <v>2606</v>
      </c>
      <c r="B1054" s="3" t="s">
        <v>876</v>
      </c>
      <c r="C1054" s="3"/>
      <c r="D1054" s="3"/>
      <c r="E1054" s="3" t="s">
        <v>600</v>
      </c>
      <c r="F1054" s="3" t="s">
        <v>32</v>
      </c>
      <c r="G1054" s="3" t="s">
        <v>1720</v>
      </c>
    </row>
    <row r="1055" spans="1:7">
      <c r="A1055" s="3" t="s">
        <v>2607</v>
      </c>
      <c r="B1055" s="3" t="s">
        <v>876</v>
      </c>
      <c r="C1055" s="3"/>
      <c r="D1055" s="3"/>
      <c r="E1055" s="3" t="s">
        <v>1721</v>
      </c>
      <c r="F1055" s="3" t="s">
        <v>32</v>
      </c>
      <c r="G1055" s="3" t="s">
        <v>1722</v>
      </c>
    </row>
    <row r="1056" spans="1:7">
      <c r="A1056" s="3" t="s">
        <v>2608</v>
      </c>
      <c r="B1056" s="3" t="s">
        <v>876</v>
      </c>
      <c r="C1056" s="3"/>
      <c r="D1056" s="3"/>
      <c r="E1056" s="3" t="s">
        <v>1723</v>
      </c>
      <c r="F1056" s="3" t="s">
        <v>32</v>
      </c>
      <c r="G1056" s="3" t="s">
        <v>1724</v>
      </c>
    </row>
    <row r="1057" spans="1:7">
      <c r="A1057" s="3" t="s">
        <v>2609</v>
      </c>
      <c r="B1057" s="3" t="s">
        <v>876</v>
      </c>
      <c r="C1057" s="3"/>
      <c r="D1057" s="3"/>
      <c r="E1057" s="3" t="s">
        <v>1725</v>
      </c>
      <c r="F1057" s="3" t="s">
        <v>32</v>
      </c>
      <c r="G1057" s="3" t="s">
        <v>1726</v>
      </c>
    </row>
    <row r="1058" spans="1:7">
      <c r="A1058" s="3" t="s">
        <v>2610</v>
      </c>
      <c r="B1058" s="3" t="s">
        <v>876</v>
      </c>
      <c r="C1058" s="3"/>
      <c r="D1058" s="3"/>
      <c r="E1058" s="3" t="s">
        <v>1727</v>
      </c>
      <c r="F1058" s="3" t="s">
        <v>32</v>
      </c>
      <c r="G1058" s="3" t="s">
        <v>1728</v>
      </c>
    </row>
    <row r="1059" spans="1:7">
      <c r="A1059" s="3" t="s">
        <v>2611</v>
      </c>
      <c r="B1059" s="3" t="s">
        <v>876</v>
      </c>
      <c r="C1059" s="3"/>
      <c r="D1059" s="3"/>
      <c r="E1059" s="3" t="s">
        <v>1729</v>
      </c>
      <c r="F1059" s="3" t="s">
        <v>32</v>
      </c>
      <c r="G1059" s="3" t="s">
        <v>1730</v>
      </c>
    </row>
    <row r="1060" spans="1:7">
      <c r="A1060" s="3" t="s">
        <v>2612</v>
      </c>
      <c r="B1060" s="3" t="s">
        <v>876</v>
      </c>
      <c r="C1060" s="3"/>
      <c r="D1060" s="3"/>
      <c r="E1060" s="3" t="s">
        <v>1731</v>
      </c>
      <c r="F1060" s="3" t="s">
        <v>32</v>
      </c>
      <c r="G1060" s="3" t="s">
        <v>1732</v>
      </c>
    </row>
    <row r="1061" spans="1:7">
      <c r="A1061" s="3" t="s">
        <v>2613</v>
      </c>
      <c r="B1061" s="3" t="s">
        <v>876</v>
      </c>
      <c r="C1061" s="3"/>
      <c r="D1061" s="3"/>
      <c r="E1061" s="3" t="s">
        <v>1733</v>
      </c>
      <c r="F1061" s="3" t="s">
        <v>32</v>
      </c>
      <c r="G1061" s="3" t="s">
        <v>1734</v>
      </c>
    </row>
    <row r="1062" spans="1:7">
      <c r="A1062" s="3" t="s">
        <v>2614</v>
      </c>
      <c r="B1062" s="3" t="s">
        <v>876</v>
      </c>
      <c r="C1062" s="3"/>
      <c r="D1062" s="3"/>
      <c r="E1062" s="3" t="s">
        <v>1735</v>
      </c>
      <c r="F1062" s="3" t="s">
        <v>32</v>
      </c>
      <c r="G1062" s="3" t="s">
        <v>1736</v>
      </c>
    </row>
    <row r="1063" spans="1:7">
      <c r="A1063" s="3" t="s">
        <v>2615</v>
      </c>
      <c r="B1063" s="3" t="s">
        <v>876</v>
      </c>
      <c r="C1063" s="3"/>
      <c r="D1063" s="3"/>
      <c r="E1063" s="3" t="s">
        <v>1737</v>
      </c>
      <c r="F1063" s="3" t="s">
        <v>32</v>
      </c>
      <c r="G1063" s="3" t="s">
        <v>1738</v>
      </c>
    </row>
    <row r="1064" spans="1:7">
      <c r="A1064" s="3" t="s">
        <v>2616</v>
      </c>
      <c r="B1064" s="3" t="s">
        <v>876</v>
      </c>
      <c r="C1064" s="3"/>
      <c r="D1064" s="3"/>
      <c r="E1064" s="3" t="s">
        <v>1583</v>
      </c>
      <c r="F1064" s="3" t="s">
        <v>32</v>
      </c>
      <c r="G1064" s="3" t="s">
        <v>1739</v>
      </c>
    </row>
    <row r="1065" spans="1:7">
      <c r="A1065" s="3" t="s">
        <v>2617</v>
      </c>
      <c r="B1065" s="3" t="s">
        <v>876</v>
      </c>
      <c r="C1065" s="3"/>
      <c r="D1065" s="3"/>
      <c r="E1065" s="3" t="s">
        <v>36</v>
      </c>
      <c r="F1065" s="3" t="s">
        <v>32</v>
      </c>
      <c r="G1065" s="3" t="s">
        <v>1740</v>
      </c>
    </row>
    <row r="1066" spans="1:7">
      <c r="A1066" s="3" t="s">
        <v>2618</v>
      </c>
      <c r="B1066" s="3" t="s">
        <v>876</v>
      </c>
      <c r="C1066" s="3"/>
      <c r="D1066" s="3"/>
      <c r="E1066" s="3" t="s">
        <v>807</v>
      </c>
      <c r="F1066" s="3" t="s">
        <v>32</v>
      </c>
      <c r="G1066" s="3" t="s">
        <v>1741</v>
      </c>
    </row>
    <row r="1067" spans="1:7">
      <c r="A1067" s="3" t="s">
        <v>2619</v>
      </c>
      <c r="B1067" s="3" t="s">
        <v>876</v>
      </c>
      <c r="C1067" s="3"/>
      <c r="D1067" s="3"/>
      <c r="E1067" s="3" t="s">
        <v>1742</v>
      </c>
      <c r="F1067" s="3" t="s">
        <v>32</v>
      </c>
      <c r="G1067" s="3" t="s">
        <v>1743</v>
      </c>
    </row>
    <row r="1068" spans="1:7">
      <c r="A1068" s="3" t="s">
        <v>2620</v>
      </c>
      <c r="B1068" s="3" t="s">
        <v>876</v>
      </c>
      <c r="C1068" s="3"/>
      <c r="D1068" s="3"/>
      <c r="E1068" s="3" t="s">
        <v>1744</v>
      </c>
      <c r="F1068" s="3" t="s">
        <v>32</v>
      </c>
      <c r="G1068" s="3" t="s">
        <v>1745</v>
      </c>
    </row>
    <row r="1069" spans="1:7">
      <c r="A1069" s="3" t="s">
        <v>2621</v>
      </c>
      <c r="B1069" s="3" t="s">
        <v>876</v>
      </c>
      <c r="C1069" s="3"/>
      <c r="D1069" s="3"/>
      <c r="E1069" s="3" t="s">
        <v>1746</v>
      </c>
      <c r="F1069" s="3" t="s">
        <v>32</v>
      </c>
      <c r="G1069" s="3" t="s">
        <v>1747</v>
      </c>
    </row>
    <row r="1070" spans="1:7">
      <c r="A1070" s="3" t="s">
        <v>2622</v>
      </c>
      <c r="B1070" s="3" t="s">
        <v>876</v>
      </c>
      <c r="C1070" s="3"/>
      <c r="D1070" s="3"/>
      <c r="E1070" s="3" t="s">
        <v>1748</v>
      </c>
      <c r="F1070" s="3" t="s">
        <v>32</v>
      </c>
      <c r="G1070" s="3" t="s">
        <v>1749</v>
      </c>
    </row>
    <row r="1071" spans="1:7">
      <c r="A1071" s="3" t="s">
        <v>2623</v>
      </c>
      <c r="B1071" s="3" t="s">
        <v>876</v>
      </c>
      <c r="C1071" s="3"/>
      <c r="D1071" s="3"/>
      <c r="E1071" s="3" t="s">
        <v>1750</v>
      </c>
      <c r="F1071" s="3" t="s">
        <v>32</v>
      </c>
      <c r="G1071" s="3" t="s">
        <v>1751</v>
      </c>
    </row>
    <row r="1072" spans="1:7">
      <c r="A1072" s="3" t="s">
        <v>2624</v>
      </c>
      <c r="B1072" s="3" t="s">
        <v>876</v>
      </c>
      <c r="C1072" s="3"/>
      <c r="D1072" s="3"/>
      <c r="E1072" s="3" t="s">
        <v>1015</v>
      </c>
      <c r="F1072" s="3" t="s">
        <v>32</v>
      </c>
      <c r="G1072" s="3" t="s">
        <v>1752</v>
      </c>
    </row>
    <row r="1073" spans="1:7">
      <c r="A1073" s="3" t="s">
        <v>2625</v>
      </c>
      <c r="B1073" s="3" t="s">
        <v>876</v>
      </c>
      <c r="C1073" s="3"/>
      <c r="D1073" s="3"/>
      <c r="E1073" s="3" t="s">
        <v>48</v>
      </c>
      <c r="F1073" s="3" t="s">
        <v>32</v>
      </c>
      <c r="G1073" s="3" t="s">
        <v>1753</v>
      </c>
    </row>
    <row r="1074" spans="1:7">
      <c r="A1074" s="3" t="s">
        <v>2626</v>
      </c>
      <c r="B1074" s="3" t="s">
        <v>876</v>
      </c>
      <c r="C1074" s="3"/>
      <c r="D1074" s="3"/>
      <c r="E1074" s="3" t="s">
        <v>1754</v>
      </c>
      <c r="F1074" s="3" t="s">
        <v>32</v>
      </c>
      <c r="G1074" s="3" t="s">
        <v>1755</v>
      </c>
    </row>
    <row r="1075" spans="1:7">
      <c r="A1075" s="3" t="s">
        <v>2627</v>
      </c>
      <c r="B1075" s="3" t="s">
        <v>876</v>
      </c>
      <c r="C1075" s="3"/>
      <c r="D1075" s="3"/>
      <c r="E1075" s="3" t="s">
        <v>42</v>
      </c>
      <c r="F1075" s="3" t="s">
        <v>32</v>
      </c>
      <c r="G1075" s="3" t="s">
        <v>1756</v>
      </c>
    </row>
    <row r="1076" spans="1:7">
      <c r="A1076" s="3" t="s">
        <v>2628</v>
      </c>
      <c r="B1076" s="3" t="s">
        <v>876</v>
      </c>
      <c r="C1076" s="3"/>
      <c r="D1076" s="3"/>
      <c r="E1076" s="3" t="s">
        <v>930</v>
      </c>
      <c r="F1076" s="3" t="s">
        <v>32</v>
      </c>
      <c r="G1076" s="3" t="s">
        <v>1757</v>
      </c>
    </row>
    <row r="1077" spans="1:7">
      <c r="A1077" s="3" t="s">
        <v>2629</v>
      </c>
      <c r="B1077" s="3" t="s">
        <v>876</v>
      </c>
      <c r="C1077" s="3"/>
      <c r="D1077" s="3"/>
      <c r="E1077" s="3" t="s">
        <v>1588</v>
      </c>
      <c r="F1077" s="3" t="s">
        <v>32</v>
      </c>
      <c r="G1077" s="3" t="s">
        <v>1758</v>
      </c>
    </row>
    <row r="1078" spans="1:7">
      <c r="A1078" s="3" t="s">
        <v>2630</v>
      </c>
      <c r="B1078" s="3" t="s">
        <v>876</v>
      </c>
      <c r="C1078" s="3"/>
      <c r="D1078" s="3"/>
      <c r="E1078" s="3" t="s">
        <v>66</v>
      </c>
      <c r="F1078" s="3" t="s">
        <v>32</v>
      </c>
      <c r="G1078" s="3" t="s">
        <v>1759</v>
      </c>
    </row>
    <row r="1079" spans="1:7">
      <c r="A1079" s="3" t="s">
        <v>2631</v>
      </c>
      <c r="B1079" s="3" t="s">
        <v>876</v>
      </c>
      <c r="C1079" s="3"/>
      <c r="D1079" s="3"/>
      <c r="E1079" s="3" t="s">
        <v>1760</v>
      </c>
      <c r="F1079" s="3" t="s">
        <v>32</v>
      </c>
      <c r="G1079" s="3" t="s">
        <v>1761</v>
      </c>
    </row>
    <row r="1080" spans="1:7">
      <c r="A1080" s="3" t="s">
        <v>2632</v>
      </c>
      <c r="B1080" s="3" t="s">
        <v>876</v>
      </c>
      <c r="C1080" s="3"/>
      <c r="D1080" s="3"/>
      <c r="E1080" s="3" t="s">
        <v>1586</v>
      </c>
      <c r="F1080" s="3" t="s">
        <v>32</v>
      </c>
      <c r="G1080" s="3" t="s">
        <v>1762</v>
      </c>
    </row>
    <row r="1081" spans="1:7">
      <c r="A1081" s="3" t="s">
        <v>2633</v>
      </c>
      <c r="B1081" s="3" t="s">
        <v>876</v>
      </c>
      <c r="C1081" s="3"/>
      <c r="D1081" s="3"/>
      <c r="E1081" s="3" t="s">
        <v>31</v>
      </c>
      <c r="F1081" s="3" t="s">
        <v>32</v>
      </c>
      <c r="G1081" s="3" t="s">
        <v>1763</v>
      </c>
    </row>
    <row r="1082" spans="1:7">
      <c r="A1082" s="3" t="s">
        <v>2634</v>
      </c>
      <c r="B1082" s="3" t="s">
        <v>876</v>
      </c>
      <c r="C1082" s="3"/>
      <c r="D1082" s="3"/>
      <c r="E1082" s="3" t="s">
        <v>1600</v>
      </c>
      <c r="F1082" s="3" t="s">
        <v>32</v>
      </c>
      <c r="G1082" s="3" t="s">
        <v>1764</v>
      </c>
    </row>
    <row r="1083" spans="1:7">
      <c r="A1083" s="3" t="s">
        <v>2635</v>
      </c>
      <c r="B1083" s="3" t="s">
        <v>876</v>
      </c>
      <c r="C1083" s="3"/>
      <c r="D1083" s="3"/>
      <c r="E1083" s="3" t="s">
        <v>880</v>
      </c>
      <c r="F1083" s="3" t="s">
        <v>32</v>
      </c>
      <c r="G1083" s="3" t="s">
        <v>1765</v>
      </c>
    </row>
    <row r="1084" spans="1:7">
      <c r="A1084" s="3" t="s">
        <v>2636</v>
      </c>
      <c r="B1084" s="3" t="s">
        <v>876</v>
      </c>
      <c r="C1084" s="3"/>
      <c r="D1084" s="3"/>
      <c r="E1084" s="3" t="s">
        <v>1585</v>
      </c>
      <c r="F1084" s="3" t="s">
        <v>32</v>
      </c>
      <c r="G1084" s="3" t="s">
        <v>1766</v>
      </c>
    </row>
    <row r="1085" spans="1:7">
      <c r="A1085" s="3" t="s">
        <v>2637</v>
      </c>
      <c r="B1085" s="3" t="s">
        <v>876</v>
      </c>
      <c r="C1085" s="3"/>
      <c r="D1085" s="3"/>
      <c r="E1085" s="3" t="s">
        <v>1590</v>
      </c>
      <c r="F1085" s="3" t="s">
        <v>32</v>
      </c>
      <c r="G1085" s="3" t="s">
        <v>1767</v>
      </c>
    </row>
    <row r="1086" spans="1:7">
      <c r="A1086" s="3" t="s">
        <v>2638</v>
      </c>
      <c r="B1086" s="3" t="s">
        <v>876</v>
      </c>
      <c r="C1086" s="3"/>
      <c r="D1086" s="3"/>
      <c r="E1086" s="3" t="s">
        <v>1768</v>
      </c>
      <c r="F1086" s="3" t="s">
        <v>32</v>
      </c>
      <c r="G1086" s="3" t="s">
        <v>1769</v>
      </c>
    </row>
    <row r="1087" spans="1:7">
      <c r="A1087" s="3" t="s">
        <v>2639</v>
      </c>
      <c r="B1087" s="3" t="s">
        <v>876</v>
      </c>
      <c r="C1087" s="3"/>
      <c r="D1087" s="3"/>
      <c r="E1087" s="3" t="s">
        <v>1770</v>
      </c>
      <c r="F1087" s="3" t="s">
        <v>32</v>
      </c>
      <c r="G1087" s="3" t="s">
        <v>1771</v>
      </c>
    </row>
    <row r="1088" spans="1:7">
      <c r="A1088" s="3" t="s">
        <v>2640</v>
      </c>
      <c r="B1088" s="3" t="s">
        <v>876</v>
      </c>
      <c r="C1088" s="3"/>
      <c r="D1088" s="3"/>
      <c r="E1088" s="3" t="s">
        <v>1772</v>
      </c>
      <c r="F1088" s="3" t="s">
        <v>32</v>
      </c>
      <c r="G1088" s="3" t="s">
        <v>1773</v>
      </c>
    </row>
    <row r="1089" spans="1:7">
      <c r="A1089" s="3" t="s">
        <v>2641</v>
      </c>
      <c r="B1089" s="3" t="s">
        <v>876</v>
      </c>
      <c r="C1089" s="3"/>
      <c r="D1089" s="3"/>
      <c r="E1089" s="3" t="s">
        <v>1774</v>
      </c>
      <c r="F1089" s="3" t="s">
        <v>32</v>
      </c>
      <c r="G1089" s="3" t="s">
        <v>1775</v>
      </c>
    </row>
    <row r="1090" spans="1:7">
      <c r="A1090" s="3" t="s">
        <v>2642</v>
      </c>
      <c r="B1090" s="3" t="s">
        <v>876</v>
      </c>
      <c r="C1090" s="3"/>
      <c r="D1090" s="3"/>
      <c r="E1090" s="3" t="s">
        <v>890</v>
      </c>
      <c r="F1090" s="3" t="s">
        <v>32</v>
      </c>
      <c r="G1090" s="3" t="s">
        <v>1776</v>
      </c>
    </row>
    <row r="1091" spans="1:7">
      <c r="A1091" s="3" t="s">
        <v>2643</v>
      </c>
      <c r="B1091" s="3" t="s">
        <v>876</v>
      </c>
      <c r="C1091" s="3"/>
      <c r="D1091" s="3"/>
      <c r="E1091" s="3" t="s">
        <v>1615</v>
      </c>
      <c r="F1091" s="3" t="s">
        <v>32</v>
      </c>
      <c r="G1091" s="3" t="s">
        <v>1777</v>
      </c>
    </row>
    <row r="1092" spans="1:7">
      <c r="A1092" s="3" t="s">
        <v>2644</v>
      </c>
      <c r="B1092" s="3" t="s">
        <v>876</v>
      </c>
      <c r="C1092" s="3"/>
      <c r="D1092" s="3"/>
      <c r="E1092" s="3" t="s">
        <v>940</v>
      </c>
      <c r="F1092" s="3" t="s">
        <v>32</v>
      </c>
      <c r="G1092" s="3" t="s">
        <v>1778</v>
      </c>
    </row>
    <row r="1093" spans="1:7">
      <c r="A1093" s="3" t="s">
        <v>2645</v>
      </c>
      <c r="B1093" s="3" t="s">
        <v>876</v>
      </c>
      <c r="C1093" s="3"/>
      <c r="D1093" s="3"/>
      <c r="E1093" s="3" t="s">
        <v>1591</v>
      </c>
      <c r="F1093" s="3" t="s">
        <v>32</v>
      </c>
      <c r="G1093" s="3" t="s">
        <v>1779</v>
      </c>
    </row>
    <row r="1094" spans="1:7">
      <c r="A1094" s="3" t="s">
        <v>2646</v>
      </c>
      <c r="B1094" s="3" t="s">
        <v>876</v>
      </c>
      <c r="C1094" s="3"/>
      <c r="D1094" s="3"/>
      <c r="E1094" s="3" t="s">
        <v>1780</v>
      </c>
      <c r="F1094" s="3" t="s">
        <v>32</v>
      </c>
      <c r="G1094" s="3" t="s">
        <v>1781</v>
      </c>
    </row>
    <row r="1095" spans="1:7">
      <c r="A1095" s="3" t="s">
        <v>2647</v>
      </c>
      <c r="B1095" s="3" t="s">
        <v>876</v>
      </c>
      <c r="C1095" s="3"/>
      <c r="D1095" s="3"/>
      <c r="E1095" s="3" t="s">
        <v>1782</v>
      </c>
      <c r="F1095" s="3" t="s">
        <v>32</v>
      </c>
      <c r="G1095" s="3" t="s">
        <v>1783</v>
      </c>
    </row>
    <row r="1096" spans="1:7">
      <c r="A1096" s="3" t="s">
        <v>2648</v>
      </c>
      <c r="B1096" s="3" t="s">
        <v>1593</v>
      </c>
      <c r="C1096" s="3"/>
      <c r="D1096" s="3"/>
      <c r="E1096" s="3" t="s">
        <v>1818</v>
      </c>
      <c r="F1096" s="3" t="s">
        <v>32</v>
      </c>
      <c r="G1096" s="3" t="s">
        <v>1819</v>
      </c>
    </row>
    <row r="1097" spans="1:7">
      <c r="A1097" s="3" t="s">
        <v>2649</v>
      </c>
      <c r="B1097" s="3" t="s">
        <v>1593</v>
      </c>
      <c r="C1097" s="3"/>
      <c r="D1097" s="3"/>
      <c r="E1097" s="3" t="s">
        <v>1820</v>
      </c>
      <c r="F1097" s="3" t="s">
        <v>32</v>
      </c>
      <c r="G1097" s="3" t="s">
        <v>1821</v>
      </c>
    </row>
    <row r="1098" spans="1:7">
      <c r="A1098" s="3" t="s">
        <v>2650</v>
      </c>
      <c r="B1098" s="3" t="s">
        <v>1593</v>
      </c>
      <c r="C1098" s="3"/>
      <c r="D1098" s="3"/>
      <c r="E1098" s="3" t="s">
        <v>1822</v>
      </c>
      <c r="F1098" s="3" t="s">
        <v>32</v>
      </c>
      <c r="G1098" s="3" t="s">
        <v>1823</v>
      </c>
    </row>
    <row r="1099" spans="1:7">
      <c r="A1099" s="3" t="s">
        <v>2651</v>
      </c>
      <c r="B1099" s="3" t="s">
        <v>1593</v>
      </c>
      <c r="C1099" s="3"/>
      <c r="D1099" s="3"/>
      <c r="E1099" s="3" t="s">
        <v>1824</v>
      </c>
      <c r="F1099" s="3" t="s">
        <v>32</v>
      </c>
      <c r="G1099" s="3" t="s">
        <v>1825</v>
      </c>
    </row>
    <row r="1100" spans="1:7">
      <c r="A1100" s="3" t="s">
        <v>2652</v>
      </c>
      <c r="B1100" s="3" t="s">
        <v>1593</v>
      </c>
      <c r="C1100" s="3"/>
      <c r="D1100" s="3"/>
      <c r="E1100" s="3" t="s">
        <v>1826</v>
      </c>
      <c r="F1100" s="3" t="s">
        <v>32</v>
      </c>
      <c r="G1100" s="3" t="s">
        <v>1827</v>
      </c>
    </row>
    <row r="1101" spans="1:7">
      <c r="A1101" s="3" t="s">
        <v>2653</v>
      </c>
      <c r="B1101" s="3" t="s">
        <v>1582</v>
      </c>
      <c r="C1101" s="3"/>
      <c r="D1101" s="3"/>
      <c r="E1101" s="3" t="s">
        <v>1774</v>
      </c>
      <c r="F1101" s="3" t="s">
        <v>32</v>
      </c>
      <c r="G1101" s="3" t="s">
        <v>1775</v>
      </c>
    </row>
    <row r="1102" spans="1:7">
      <c r="A1102" s="3" t="s">
        <v>2654</v>
      </c>
      <c r="B1102" s="3" t="s">
        <v>1582</v>
      </c>
      <c r="C1102" s="3"/>
      <c r="D1102" s="3"/>
      <c r="E1102" s="3" t="s">
        <v>890</v>
      </c>
      <c r="F1102" s="3" t="s">
        <v>32</v>
      </c>
      <c r="G1102" s="3" t="s">
        <v>1776</v>
      </c>
    </row>
    <row r="1103" spans="1:7">
      <c r="A1103" s="3" t="s">
        <v>2655</v>
      </c>
      <c r="B1103" s="3" t="s">
        <v>1582</v>
      </c>
      <c r="C1103" s="3"/>
      <c r="D1103" s="3"/>
      <c r="E1103" s="3" t="s">
        <v>940</v>
      </c>
      <c r="F1103" s="3" t="s">
        <v>32</v>
      </c>
      <c r="G1103" s="3" t="s">
        <v>1778</v>
      </c>
    </row>
    <row r="1104" spans="1:7">
      <c r="A1104" s="3" t="s">
        <v>2656</v>
      </c>
      <c r="B1104" s="3" t="s">
        <v>1582</v>
      </c>
      <c r="C1104" s="3"/>
      <c r="D1104" s="3"/>
      <c r="E1104" s="3" t="s">
        <v>1591</v>
      </c>
      <c r="F1104" s="3" t="s">
        <v>32</v>
      </c>
      <c r="G1104" s="3" t="s">
        <v>1779</v>
      </c>
    </row>
    <row r="1105" spans="1:7">
      <c r="A1105" s="3" t="s">
        <v>2657</v>
      </c>
      <c r="B1105" s="3" t="s">
        <v>1830</v>
      </c>
      <c r="C1105" s="3"/>
      <c r="D1105" s="3" t="s">
        <v>218</v>
      </c>
      <c r="E1105" s="3" t="s">
        <v>218</v>
      </c>
      <c r="F1105" s="3" t="s">
        <v>219</v>
      </c>
      <c r="G1105" s="3" t="s">
        <v>1623</v>
      </c>
    </row>
    <row r="1106" spans="1:7">
      <c r="A1106" s="3" t="s">
        <v>2658</v>
      </c>
      <c r="B1106" s="3" t="s">
        <v>1830</v>
      </c>
      <c r="C1106" s="3"/>
      <c r="D1106" s="3" t="s">
        <v>8</v>
      </c>
      <c r="E1106" s="3" t="s">
        <v>77</v>
      </c>
      <c r="F1106" s="3" t="s">
        <v>32</v>
      </c>
      <c r="G1106" s="3" t="s">
        <v>1831</v>
      </c>
    </row>
    <row r="1107" spans="1:7">
      <c r="A1107" s="3" t="s">
        <v>2659</v>
      </c>
      <c r="B1107" s="3" t="s">
        <v>1830</v>
      </c>
      <c r="C1107" s="3"/>
      <c r="D1107" s="3" t="s">
        <v>8</v>
      </c>
      <c r="E1107" s="3" t="s">
        <v>42</v>
      </c>
      <c r="F1107" s="3" t="s">
        <v>32</v>
      </c>
      <c r="G1107" s="3" t="s">
        <v>1756</v>
      </c>
    </row>
    <row r="1108" spans="1:7">
      <c r="A1108" s="3" t="s">
        <v>2660</v>
      </c>
      <c r="B1108" s="3" t="s">
        <v>1832</v>
      </c>
      <c r="C1108" s="3" t="s">
        <v>1833</v>
      </c>
      <c r="D1108" s="3" t="s">
        <v>1834</v>
      </c>
      <c r="E1108" s="3" t="s">
        <v>1835</v>
      </c>
      <c r="F1108" s="3"/>
      <c r="G1108" s="3" t="s">
        <v>1836</v>
      </c>
    </row>
    <row r="1109" spans="1:7">
      <c r="A1109" s="3" t="s">
        <v>2661</v>
      </c>
      <c r="B1109" s="3" t="s">
        <v>1832</v>
      </c>
      <c r="C1109" s="3" t="s">
        <v>1837</v>
      </c>
      <c r="D1109" s="3" t="s">
        <v>1838</v>
      </c>
      <c r="E1109" s="3" t="s">
        <v>1835</v>
      </c>
      <c r="F1109" s="3"/>
      <c r="G1109" s="3" t="s">
        <v>1836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5"/>
  <sheetViews>
    <sheetView topLeftCell="A228" workbookViewId="0">
      <selection activeCell="G245" sqref="G245"/>
    </sheetView>
  </sheetViews>
  <sheetFormatPr defaultRowHeight="15"/>
  <cols>
    <col min="3" max="3" width="10.5703125" customWidth="1"/>
    <col min="4" max="4" width="10.28515625" customWidth="1"/>
    <col min="6" max="6" width="10.28515625" customWidth="1"/>
  </cols>
  <sheetData>
    <row r="1" spans="1:8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13</v>
      </c>
    </row>
    <row r="2" spans="1:8">
      <c r="A2" s="5" t="s">
        <v>7</v>
      </c>
      <c r="B2" s="5" t="s">
        <v>81</v>
      </c>
      <c r="C2" s="5" t="s">
        <v>82</v>
      </c>
      <c r="D2" s="5" t="s">
        <v>83</v>
      </c>
      <c r="E2" s="5"/>
      <c r="F2" s="5" t="s">
        <v>84</v>
      </c>
      <c r="G2" s="5" t="s">
        <v>85</v>
      </c>
      <c r="H2" s="5" t="s">
        <v>86</v>
      </c>
    </row>
    <row r="3" spans="1:8">
      <c r="A3" s="5" t="s">
        <v>9</v>
      </c>
      <c r="B3" s="5" t="s">
        <v>81</v>
      </c>
      <c r="C3" s="5" t="s">
        <v>88</v>
      </c>
      <c r="D3" s="5" t="s">
        <v>89</v>
      </c>
      <c r="E3" s="5" t="s">
        <v>90</v>
      </c>
      <c r="F3" s="5" t="s">
        <v>84</v>
      </c>
      <c r="G3" s="5" t="s">
        <v>91</v>
      </c>
      <c r="H3" s="5" t="s">
        <v>92</v>
      </c>
    </row>
    <row r="4" spans="1:8">
      <c r="A4" s="5" t="s">
        <v>10</v>
      </c>
      <c r="B4" s="5" t="s">
        <v>81</v>
      </c>
      <c r="C4" s="5" t="s">
        <v>94</v>
      </c>
      <c r="D4" s="5" t="s">
        <v>95</v>
      </c>
      <c r="E4" s="5" t="s">
        <v>96</v>
      </c>
      <c r="F4" s="5" t="s">
        <v>84</v>
      </c>
      <c r="G4" s="5" t="s">
        <v>97</v>
      </c>
      <c r="H4" s="5" t="s">
        <v>98</v>
      </c>
    </row>
    <row r="5" spans="1:8">
      <c r="A5" s="5" t="s">
        <v>12</v>
      </c>
      <c r="B5" s="5" t="s">
        <v>81</v>
      </c>
      <c r="C5" s="5" t="s">
        <v>100</v>
      </c>
      <c r="D5" s="5" t="s">
        <v>101</v>
      </c>
      <c r="E5" s="5"/>
      <c r="F5" s="5" t="s">
        <v>84</v>
      </c>
      <c r="G5" s="5" t="s">
        <v>102</v>
      </c>
      <c r="H5" s="5" t="s">
        <v>103</v>
      </c>
    </row>
    <row r="6" spans="1:8">
      <c r="A6" s="5" t="s">
        <v>28</v>
      </c>
      <c r="B6" s="5" t="s">
        <v>81</v>
      </c>
      <c r="C6" s="5" t="s">
        <v>105</v>
      </c>
      <c r="D6" s="5" t="s">
        <v>106</v>
      </c>
      <c r="E6" s="5" t="s">
        <v>107</v>
      </c>
      <c r="F6" s="5" t="s">
        <v>32</v>
      </c>
      <c r="G6" s="5" t="s">
        <v>108</v>
      </c>
      <c r="H6" s="5" t="s">
        <v>109</v>
      </c>
    </row>
    <row r="7" spans="1:8">
      <c r="A7" s="5" t="s">
        <v>34</v>
      </c>
      <c r="B7" s="5" t="s">
        <v>81</v>
      </c>
      <c r="C7" s="5" t="s">
        <v>111</v>
      </c>
      <c r="D7" s="5" t="s">
        <v>112</v>
      </c>
      <c r="E7" s="5" t="s">
        <v>113</v>
      </c>
      <c r="F7" s="5" t="s">
        <v>84</v>
      </c>
      <c r="G7" s="5" t="s">
        <v>114</v>
      </c>
      <c r="H7" s="5" t="s">
        <v>115</v>
      </c>
    </row>
    <row r="8" spans="1:8">
      <c r="A8" s="5" t="s">
        <v>38</v>
      </c>
      <c r="B8" s="5" t="s">
        <v>81</v>
      </c>
      <c r="C8" s="5" t="s">
        <v>123</v>
      </c>
      <c r="D8" s="5" t="s">
        <v>124</v>
      </c>
      <c r="E8" s="5"/>
      <c r="F8" s="5" t="s">
        <v>84</v>
      </c>
      <c r="G8" s="5" t="s">
        <v>125</v>
      </c>
      <c r="H8" s="5" t="s">
        <v>126</v>
      </c>
    </row>
    <row r="9" spans="1:8">
      <c r="A9" s="5" t="s">
        <v>40</v>
      </c>
      <c r="B9" s="5" t="s">
        <v>81</v>
      </c>
      <c r="C9" s="5" t="s">
        <v>128</v>
      </c>
      <c r="D9" s="5" t="s">
        <v>129</v>
      </c>
      <c r="E9" s="5"/>
      <c r="F9" s="5" t="s">
        <v>84</v>
      </c>
      <c r="G9" s="5" t="s">
        <v>130</v>
      </c>
      <c r="H9" s="5" t="s">
        <v>131</v>
      </c>
    </row>
    <row r="10" spans="1:8">
      <c r="A10" s="5" t="s">
        <v>44</v>
      </c>
      <c r="B10" s="5" t="s">
        <v>81</v>
      </c>
      <c r="C10" s="5" t="s">
        <v>133</v>
      </c>
      <c r="D10" s="5" t="s">
        <v>134</v>
      </c>
      <c r="E10" s="5" t="s">
        <v>135</v>
      </c>
      <c r="F10" s="5" t="s">
        <v>84</v>
      </c>
      <c r="G10" s="5" t="s">
        <v>136</v>
      </c>
      <c r="H10" s="5" t="s">
        <v>137</v>
      </c>
    </row>
    <row r="11" spans="1:8">
      <c r="A11" s="5" t="s">
        <v>46</v>
      </c>
      <c r="B11" s="5" t="s">
        <v>81</v>
      </c>
      <c r="C11" s="5" t="s">
        <v>139</v>
      </c>
      <c r="D11" s="5" t="s">
        <v>140</v>
      </c>
      <c r="E11" s="5"/>
      <c r="F11" s="5" t="s">
        <v>84</v>
      </c>
      <c r="G11" s="5" t="s">
        <v>141</v>
      </c>
      <c r="H11" s="5" t="s">
        <v>142</v>
      </c>
    </row>
    <row r="12" spans="1:8">
      <c r="A12" s="5" t="s">
        <v>50</v>
      </c>
      <c r="B12" s="5" t="s">
        <v>81</v>
      </c>
      <c r="C12" s="5" t="s">
        <v>88</v>
      </c>
      <c r="D12" s="5" t="s">
        <v>89</v>
      </c>
      <c r="E12" s="5" t="s">
        <v>144</v>
      </c>
      <c r="F12" s="5" t="s">
        <v>84</v>
      </c>
      <c r="G12" s="5" t="s">
        <v>145</v>
      </c>
      <c r="H12" s="5" t="s">
        <v>146</v>
      </c>
    </row>
    <row r="13" spans="1:8">
      <c r="A13" s="5" t="s">
        <v>52</v>
      </c>
      <c r="B13" s="5" t="s">
        <v>81</v>
      </c>
      <c r="C13" s="5" t="s">
        <v>148</v>
      </c>
      <c r="D13" s="5" t="s">
        <v>149</v>
      </c>
      <c r="E13" s="5"/>
      <c r="F13" s="5" t="s">
        <v>84</v>
      </c>
      <c r="G13" s="5" t="s">
        <v>150</v>
      </c>
      <c r="H13" s="5" t="s">
        <v>151</v>
      </c>
    </row>
    <row r="14" spans="1:8">
      <c r="A14" s="5" t="s">
        <v>54</v>
      </c>
      <c r="B14" s="5" t="s">
        <v>81</v>
      </c>
      <c r="C14" s="5" t="s">
        <v>153</v>
      </c>
      <c r="D14" s="5" t="s">
        <v>154</v>
      </c>
      <c r="E14" s="5"/>
      <c r="F14" s="5"/>
      <c r="G14" s="5" t="s">
        <v>155</v>
      </c>
      <c r="H14" s="5" t="s">
        <v>156</v>
      </c>
    </row>
    <row r="15" spans="1:8">
      <c r="A15" s="5" t="s">
        <v>56</v>
      </c>
      <c r="B15" s="5" t="s">
        <v>81</v>
      </c>
      <c r="C15" s="5" t="s">
        <v>117</v>
      </c>
      <c r="D15" s="5" t="s">
        <v>89</v>
      </c>
      <c r="E15" s="5" t="s">
        <v>158</v>
      </c>
      <c r="F15" s="5" t="s">
        <v>84</v>
      </c>
      <c r="G15" s="5" t="s">
        <v>91</v>
      </c>
      <c r="H15" s="5" t="s">
        <v>92</v>
      </c>
    </row>
    <row r="16" spans="1:8">
      <c r="A16" s="5" t="s">
        <v>58</v>
      </c>
      <c r="B16" s="5" t="s">
        <v>81</v>
      </c>
      <c r="C16" s="5" t="s">
        <v>160</v>
      </c>
      <c r="D16" s="5" t="s">
        <v>161</v>
      </c>
      <c r="E16" s="5"/>
      <c r="F16" s="5" t="s">
        <v>84</v>
      </c>
      <c r="G16" s="5" t="s">
        <v>162</v>
      </c>
      <c r="H16" s="5" t="s">
        <v>163</v>
      </c>
    </row>
    <row r="17" spans="1:8">
      <c r="A17" s="5" t="s">
        <v>60</v>
      </c>
      <c r="B17" s="5" t="s">
        <v>81</v>
      </c>
      <c r="C17" s="5" t="s">
        <v>170</v>
      </c>
      <c r="D17" s="5" t="s">
        <v>171</v>
      </c>
      <c r="E17" s="5"/>
      <c r="F17" s="5" t="s">
        <v>84</v>
      </c>
      <c r="G17" s="5" t="s">
        <v>172</v>
      </c>
      <c r="H17" s="5" t="s">
        <v>173</v>
      </c>
    </row>
    <row r="18" spans="1:8">
      <c r="A18" s="5" t="s">
        <v>62</v>
      </c>
      <c r="B18" s="5" t="s">
        <v>81</v>
      </c>
      <c r="C18" s="5" t="s">
        <v>175</v>
      </c>
      <c r="D18" s="5" t="s">
        <v>89</v>
      </c>
      <c r="E18" s="5" t="s">
        <v>176</v>
      </c>
      <c r="F18" s="5"/>
      <c r="G18" s="5" t="s">
        <v>177</v>
      </c>
      <c r="H18" s="5" t="s">
        <v>178</v>
      </c>
    </row>
    <row r="19" spans="1:8">
      <c r="A19" s="5" t="s">
        <v>64</v>
      </c>
      <c r="B19" s="5" t="s">
        <v>81</v>
      </c>
      <c r="C19" s="5" t="s">
        <v>153</v>
      </c>
      <c r="D19" s="5" t="s">
        <v>180</v>
      </c>
      <c r="E19" s="5"/>
      <c r="F19" s="5"/>
      <c r="G19" s="5" t="s">
        <v>155</v>
      </c>
      <c r="H19" s="5" t="s">
        <v>156</v>
      </c>
    </row>
    <row r="20" spans="1:8">
      <c r="A20" s="5" t="s">
        <v>68</v>
      </c>
      <c r="B20" s="5" t="s">
        <v>81</v>
      </c>
      <c r="C20" s="5" t="s">
        <v>111</v>
      </c>
      <c r="D20" s="5" t="s">
        <v>182</v>
      </c>
      <c r="E20" s="5" t="s">
        <v>183</v>
      </c>
      <c r="F20" s="5" t="s">
        <v>84</v>
      </c>
      <c r="G20" s="5" t="s">
        <v>184</v>
      </c>
      <c r="H20" s="5" t="s">
        <v>185</v>
      </c>
    </row>
    <row r="21" spans="1:8">
      <c r="A21" s="5" t="s">
        <v>70</v>
      </c>
      <c r="B21" s="5" t="s">
        <v>81</v>
      </c>
      <c r="C21" s="5" t="s">
        <v>82</v>
      </c>
      <c r="D21" s="5" t="s">
        <v>187</v>
      </c>
      <c r="E21" s="5"/>
      <c r="F21" s="5" t="s">
        <v>84</v>
      </c>
      <c r="G21" s="5" t="s">
        <v>85</v>
      </c>
      <c r="H21" s="5" t="s">
        <v>86</v>
      </c>
    </row>
    <row r="22" spans="1:8">
      <c r="A22" s="5" t="s">
        <v>72</v>
      </c>
      <c r="B22" s="5" t="s">
        <v>81</v>
      </c>
      <c r="C22" s="5" t="s">
        <v>82</v>
      </c>
      <c r="D22" s="5" t="s">
        <v>189</v>
      </c>
      <c r="E22" s="5"/>
      <c r="F22" s="5" t="s">
        <v>84</v>
      </c>
      <c r="G22" s="5" t="s">
        <v>85</v>
      </c>
      <c r="H22" s="5" t="s">
        <v>86</v>
      </c>
    </row>
    <row r="23" spans="1:8">
      <c r="A23" s="5" t="s">
        <v>75</v>
      </c>
      <c r="B23" s="5" t="s">
        <v>81</v>
      </c>
      <c r="C23" s="5" t="s">
        <v>175</v>
      </c>
      <c r="D23" s="5" t="s">
        <v>89</v>
      </c>
      <c r="E23" s="5" t="s">
        <v>191</v>
      </c>
      <c r="F23" s="5" t="s">
        <v>84</v>
      </c>
      <c r="G23" s="5" t="s">
        <v>91</v>
      </c>
      <c r="H23" s="5" t="s">
        <v>92</v>
      </c>
    </row>
    <row r="24" spans="1:8">
      <c r="A24" s="5" t="s">
        <v>78</v>
      </c>
      <c r="B24" s="5" t="s">
        <v>81</v>
      </c>
      <c r="C24" s="5" t="s">
        <v>193</v>
      </c>
      <c r="D24" s="5" t="s">
        <v>194</v>
      </c>
      <c r="E24" s="5"/>
      <c r="F24" s="5"/>
      <c r="G24" s="5" t="s">
        <v>155</v>
      </c>
      <c r="H24" s="5" t="s">
        <v>156</v>
      </c>
    </row>
    <row r="25" spans="1:8">
      <c r="A25" s="5" t="s">
        <v>80</v>
      </c>
      <c r="B25" s="5" t="s">
        <v>81</v>
      </c>
      <c r="C25" s="5" t="s">
        <v>94</v>
      </c>
      <c r="D25" s="5" t="s">
        <v>196</v>
      </c>
      <c r="E25" s="5" t="s">
        <v>197</v>
      </c>
      <c r="F25" s="5" t="s">
        <v>32</v>
      </c>
      <c r="G25" s="5" t="s">
        <v>198</v>
      </c>
      <c r="H25" s="5" t="s">
        <v>199</v>
      </c>
    </row>
    <row r="26" spans="1:8">
      <c r="A26" s="5" t="s">
        <v>87</v>
      </c>
      <c r="B26" s="5" t="s">
        <v>81</v>
      </c>
      <c r="C26" s="5" t="s">
        <v>201</v>
      </c>
      <c r="D26" s="5" t="s">
        <v>202</v>
      </c>
      <c r="E26" s="5"/>
      <c r="F26" s="5" t="s">
        <v>84</v>
      </c>
      <c r="G26" s="5" t="s">
        <v>203</v>
      </c>
      <c r="H26" s="5" t="s">
        <v>204</v>
      </c>
    </row>
    <row r="27" spans="1:8">
      <c r="A27" s="5" t="s">
        <v>93</v>
      </c>
      <c r="B27" s="5" t="s">
        <v>81</v>
      </c>
      <c r="C27" s="5" t="s">
        <v>128</v>
      </c>
      <c r="D27" s="5" t="s">
        <v>206</v>
      </c>
      <c r="E27" s="5" t="s">
        <v>207</v>
      </c>
      <c r="F27" s="5" t="s">
        <v>84</v>
      </c>
      <c r="G27" s="5" t="s">
        <v>208</v>
      </c>
      <c r="H27" s="5" t="s">
        <v>209</v>
      </c>
    </row>
    <row r="28" spans="1:8">
      <c r="A28" s="5" t="s">
        <v>99</v>
      </c>
      <c r="B28" s="5" t="s">
        <v>81</v>
      </c>
      <c r="C28" s="5" t="s">
        <v>211</v>
      </c>
      <c r="D28" s="5" t="s">
        <v>212</v>
      </c>
      <c r="E28" s="5"/>
      <c r="F28" s="5" t="s">
        <v>84</v>
      </c>
      <c r="G28" s="5" t="s">
        <v>213</v>
      </c>
      <c r="H28" s="5" t="s">
        <v>214</v>
      </c>
    </row>
    <row r="29" spans="1:8">
      <c r="A29" s="5" t="s">
        <v>104</v>
      </c>
      <c r="B29" s="5" t="s">
        <v>81</v>
      </c>
      <c r="C29" s="5" t="s">
        <v>216</v>
      </c>
      <c r="D29" s="5" t="s">
        <v>217</v>
      </c>
      <c r="E29" s="5" t="s">
        <v>218</v>
      </c>
      <c r="F29" s="5" t="s">
        <v>219</v>
      </c>
      <c r="G29" s="5" t="s">
        <v>220</v>
      </c>
      <c r="H29" s="5" t="s">
        <v>221</v>
      </c>
    </row>
    <row r="30" spans="1:8">
      <c r="A30" s="5" t="s">
        <v>110</v>
      </c>
      <c r="B30" s="5" t="s">
        <v>81</v>
      </c>
      <c r="C30" s="5" t="s">
        <v>82</v>
      </c>
      <c r="D30" s="5" t="s">
        <v>226</v>
      </c>
      <c r="E30" s="5"/>
      <c r="F30" s="5" t="s">
        <v>84</v>
      </c>
      <c r="G30" s="5" t="s">
        <v>85</v>
      </c>
      <c r="H30" s="5" t="s">
        <v>86</v>
      </c>
    </row>
    <row r="31" spans="1:8">
      <c r="A31" s="5" t="s">
        <v>116</v>
      </c>
      <c r="B31" s="5" t="s">
        <v>81</v>
      </c>
      <c r="C31" s="5" t="s">
        <v>165</v>
      </c>
      <c r="D31" s="5" t="s">
        <v>228</v>
      </c>
      <c r="E31" s="5"/>
      <c r="F31" s="5" t="s">
        <v>84</v>
      </c>
      <c r="G31" s="5" t="s">
        <v>102</v>
      </c>
      <c r="H31" s="5" t="s">
        <v>103</v>
      </c>
    </row>
    <row r="32" spans="1:8">
      <c r="A32" s="5" t="s">
        <v>122</v>
      </c>
      <c r="B32" s="5" t="s">
        <v>81</v>
      </c>
      <c r="C32" s="5" t="s">
        <v>230</v>
      </c>
      <c r="D32" s="5" t="s">
        <v>231</v>
      </c>
      <c r="E32" s="5"/>
      <c r="F32" s="5" t="s">
        <v>84</v>
      </c>
      <c r="G32" s="5" t="s">
        <v>232</v>
      </c>
      <c r="H32" s="5" t="s">
        <v>233</v>
      </c>
    </row>
    <row r="33" spans="1:8">
      <c r="A33" s="5" t="s">
        <v>127</v>
      </c>
      <c r="B33" s="5" t="s">
        <v>81</v>
      </c>
      <c r="C33" s="5" t="s">
        <v>235</v>
      </c>
      <c r="D33" s="5" t="s">
        <v>236</v>
      </c>
      <c r="E33" s="5"/>
      <c r="F33" s="5"/>
      <c r="G33" s="5" t="s">
        <v>237</v>
      </c>
      <c r="H33" s="5" t="s">
        <v>238</v>
      </c>
    </row>
    <row r="34" spans="1:8">
      <c r="A34" s="5" t="s">
        <v>132</v>
      </c>
      <c r="B34" s="5" t="s">
        <v>81</v>
      </c>
      <c r="C34" s="5" t="s">
        <v>240</v>
      </c>
      <c r="D34" s="5" t="s">
        <v>241</v>
      </c>
      <c r="E34" s="5" t="s">
        <v>242</v>
      </c>
      <c r="F34" s="5" t="s">
        <v>32</v>
      </c>
      <c r="G34" s="5" t="s">
        <v>243</v>
      </c>
      <c r="H34" s="5" t="s">
        <v>244</v>
      </c>
    </row>
    <row r="35" spans="1:8">
      <c r="A35" s="5" t="s">
        <v>138</v>
      </c>
      <c r="B35" s="5" t="s">
        <v>81</v>
      </c>
      <c r="C35" s="5" t="s">
        <v>246</v>
      </c>
      <c r="D35" s="5" t="s">
        <v>247</v>
      </c>
      <c r="E35" s="5" t="s">
        <v>248</v>
      </c>
      <c r="F35" s="5" t="s">
        <v>84</v>
      </c>
      <c r="G35" s="5" t="s">
        <v>91</v>
      </c>
      <c r="H35" s="5" t="s">
        <v>92</v>
      </c>
    </row>
    <row r="36" spans="1:8">
      <c r="A36" s="5" t="s">
        <v>143</v>
      </c>
      <c r="B36" s="5" t="s">
        <v>81</v>
      </c>
      <c r="C36" s="5" t="s">
        <v>82</v>
      </c>
      <c r="D36" s="5" t="s">
        <v>250</v>
      </c>
      <c r="E36" s="5"/>
      <c r="F36" s="5" t="s">
        <v>84</v>
      </c>
      <c r="G36" s="5" t="s">
        <v>85</v>
      </c>
      <c r="H36" s="5" t="s">
        <v>86</v>
      </c>
    </row>
    <row r="37" spans="1:8">
      <c r="A37" s="5" t="s">
        <v>147</v>
      </c>
      <c r="B37" s="5" t="s">
        <v>81</v>
      </c>
      <c r="C37" s="5" t="s">
        <v>252</v>
      </c>
      <c r="D37" s="5" t="s">
        <v>247</v>
      </c>
      <c r="E37" s="5" t="s">
        <v>253</v>
      </c>
      <c r="F37" s="5" t="s">
        <v>84</v>
      </c>
      <c r="G37" s="5" t="s">
        <v>254</v>
      </c>
      <c r="H37" s="5" t="s">
        <v>255</v>
      </c>
    </row>
    <row r="38" spans="1:8">
      <c r="A38" s="5" t="s">
        <v>152</v>
      </c>
      <c r="B38" s="5" t="s">
        <v>81</v>
      </c>
      <c r="C38" s="5" t="s">
        <v>261</v>
      </c>
      <c r="D38" s="5" t="s">
        <v>262</v>
      </c>
      <c r="E38" s="5"/>
      <c r="F38" s="5" t="s">
        <v>84</v>
      </c>
      <c r="G38" s="5" t="s">
        <v>263</v>
      </c>
      <c r="H38" s="5" t="s">
        <v>264</v>
      </c>
    </row>
    <row r="39" spans="1:8">
      <c r="A39" s="5" t="s">
        <v>157</v>
      </c>
      <c r="B39" s="5" t="s">
        <v>81</v>
      </c>
      <c r="C39" s="5" t="s">
        <v>111</v>
      </c>
      <c r="D39" s="5" t="s">
        <v>266</v>
      </c>
      <c r="E39" s="5"/>
      <c r="F39" s="5" t="s">
        <v>84</v>
      </c>
      <c r="G39" s="5" t="s">
        <v>267</v>
      </c>
      <c r="H39" s="5" t="s">
        <v>268</v>
      </c>
    </row>
    <row r="40" spans="1:8">
      <c r="A40" s="5" t="s">
        <v>159</v>
      </c>
      <c r="B40" s="5" t="s">
        <v>81</v>
      </c>
      <c r="C40" s="5" t="s">
        <v>270</v>
      </c>
      <c r="D40" s="5" t="s">
        <v>271</v>
      </c>
      <c r="E40" s="5" t="s">
        <v>272</v>
      </c>
      <c r="F40" s="5" t="s">
        <v>84</v>
      </c>
      <c r="G40" s="5" t="s">
        <v>273</v>
      </c>
      <c r="H40" s="5" t="s">
        <v>274</v>
      </c>
    </row>
    <row r="41" spans="1:8">
      <c r="A41" s="5" t="s">
        <v>164</v>
      </c>
      <c r="B41" s="5" t="s">
        <v>81</v>
      </c>
      <c r="C41" s="5" t="s">
        <v>270</v>
      </c>
      <c r="D41" s="5" t="s">
        <v>271</v>
      </c>
      <c r="E41" s="5" t="s">
        <v>279</v>
      </c>
      <c r="F41" s="5" t="s">
        <v>84</v>
      </c>
      <c r="G41" s="5" t="s">
        <v>273</v>
      </c>
      <c r="H41" s="5" t="s">
        <v>274</v>
      </c>
    </row>
    <row r="42" spans="1:8">
      <c r="A42" s="5" t="s">
        <v>169</v>
      </c>
      <c r="B42" s="5" t="s">
        <v>81</v>
      </c>
      <c r="C42" s="5" t="s">
        <v>281</v>
      </c>
      <c r="D42" s="5" t="s">
        <v>282</v>
      </c>
      <c r="E42" s="5"/>
      <c r="F42" s="5" t="s">
        <v>84</v>
      </c>
      <c r="G42" s="5" t="s">
        <v>283</v>
      </c>
      <c r="H42" s="5" t="s">
        <v>284</v>
      </c>
    </row>
    <row r="43" spans="1:8">
      <c r="A43" s="5" t="s">
        <v>174</v>
      </c>
      <c r="B43" s="5" t="s">
        <v>81</v>
      </c>
      <c r="C43" s="5" t="s">
        <v>82</v>
      </c>
      <c r="D43" s="5" t="s">
        <v>286</v>
      </c>
      <c r="E43" s="5"/>
      <c r="F43" s="5" t="s">
        <v>84</v>
      </c>
      <c r="G43" s="5" t="s">
        <v>85</v>
      </c>
      <c r="H43" s="5" t="s">
        <v>86</v>
      </c>
    </row>
    <row r="44" spans="1:8">
      <c r="A44" s="5" t="s">
        <v>179</v>
      </c>
      <c r="B44" s="5" t="s">
        <v>81</v>
      </c>
      <c r="C44" s="5" t="s">
        <v>165</v>
      </c>
      <c r="D44" s="5" t="s">
        <v>101</v>
      </c>
      <c r="E44" s="5"/>
      <c r="F44" s="5" t="s">
        <v>84</v>
      </c>
      <c r="G44" s="5" t="s">
        <v>102</v>
      </c>
      <c r="H44" s="5" t="s">
        <v>103</v>
      </c>
    </row>
    <row r="45" spans="1:8">
      <c r="A45" s="5" t="s">
        <v>181</v>
      </c>
      <c r="B45" s="5" t="s">
        <v>81</v>
      </c>
      <c r="C45" s="5" t="s">
        <v>289</v>
      </c>
      <c r="D45" s="5" t="s">
        <v>290</v>
      </c>
      <c r="E45" s="5"/>
      <c r="F45" s="5"/>
      <c r="G45" s="5" t="s">
        <v>155</v>
      </c>
      <c r="H45" s="5" t="s">
        <v>156</v>
      </c>
    </row>
    <row r="46" spans="1:8">
      <c r="A46" s="5" t="s">
        <v>186</v>
      </c>
      <c r="B46" s="5" t="s">
        <v>81</v>
      </c>
      <c r="C46" s="5" t="s">
        <v>128</v>
      </c>
      <c r="D46" s="5" t="s">
        <v>262</v>
      </c>
      <c r="E46" s="5" t="s">
        <v>292</v>
      </c>
      <c r="F46" s="5" t="s">
        <v>84</v>
      </c>
      <c r="G46" s="5" t="s">
        <v>293</v>
      </c>
      <c r="H46" s="5" t="s">
        <v>294</v>
      </c>
    </row>
    <row r="47" spans="1:8">
      <c r="A47" s="5" t="s">
        <v>188</v>
      </c>
      <c r="B47" s="5" t="s">
        <v>81</v>
      </c>
      <c r="C47" s="5" t="s">
        <v>88</v>
      </c>
      <c r="D47" s="5" t="s">
        <v>296</v>
      </c>
      <c r="E47" s="5"/>
      <c r="F47" s="5" t="s">
        <v>84</v>
      </c>
      <c r="G47" s="5" t="s">
        <v>297</v>
      </c>
      <c r="H47" s="5" t="s">
        <v>298</v>
      </c>
    </row>
    <row r="48" spans="1:8">
      <c r="A48" s="5" t="s">
        <v>190</v>
      </c>
      <c r="B48" s="5" t="s">
        <v>81</v>
      </c>
      <c r="C48" s="5" t="s">
        <v>128</v>
      </c>
      <c r="D48" s="5" t="s">
        <v>262</v>
      </c>
      <c r="E48" s="5"/>
      <c r="F48" s="5" t="s">
        <v>84</v>
      </c>
      <c r="G48" s="5" t="s">
        <v>263</v>
      </c>
      <c r="H48" s="5" t="s">
        <v>264</v>
      </c>
    </row>
    <row r="49" spans="1:8">
      <c r="A49" s="5" t="s">
        <v>192</v>
      </c>
      <c r="B49" s="5" t="s">
        <v>81</v>
      </c>
      <c r="C49" s="5" t="s">
        <v>301</v>
      </c>
      <c r="D49" s="5" t="s">
        <v>171</v>
      </c>
      <c r="E49" s="5"/>
      <c r="F49" s="5" t="s">
        <v>84</v>
      </c>
      <c r="G49" s="5" t="s">
        <v>172</v>
      </c>
      <c r="H49" s="5" t="s">
        <v>173</v>
      </c>
    </row>
    <row r="50" spans="1:8">
      <c r="A50" s="5" t="s">
        <v>195</v>
      </c>
      <c r="B50" s="5" t="s">
        <v>81</v>
      </c>
      <c r="C50" s="5" t="s">
        <v>303</v>
      </c>
      <c r="D50" s="5" t="s">
        <v>171</v>
      </c>
      <c r="E50" s="5"/>
      <c r="F50" s="5" t="s">
        <v>84</v>
      </c>
      <c r="G50" s="5" t="s">
        <v>172</v>
      </c>
      <c r="H50" s="5" t="s">
        <v>173</v>
      </c>
    </row>
    <row r="51" spans="1:8">
      <c r="A51" s="5" t="s">
        <v>200</v>
      </c>
      <c r="B51" s="5" t="s">
        <v>81</v>
      </c>
      <c r="C51" s="5" t="s">
        <v>305</v>
      </c>
      <c r="D51" s="5" t="s">
        <v>306</v>
      </c>
      <c r="E51" s="5"/>
      <c r="F51" s="5" t="s">
        <v>84</v>
      </c>
      <c r="G51" s="5" t="s">
        <v>307</v>
      </c>
      <c r="H51" s="5" t="s">
        <v>308</v>
      </c>
    </row>
    <row r="52" spans="1:8">
      <c r="A52" s="5" t="s">
        <v>205</v>
      </c>
      <c r="B52" s="5" t="s">
        <v>81</v>
      </c>
      <c r="C52" s="5" t="s">
        <v>310</v>
      </c>
      <c r="D52" s="5" t="s">
        <v>311</v>
      </c>
      <c r="E52" s="5"/>
      <c r="F52" s="5" t="s">
        <v>84</v>
      </c>
      <c r="G52" s="5" t="s">
        <v>312</v>
      </c>
      <c r="H52" s="5" t="s">
        <v>313</v>
      </c>
    </row>
    <row r="53" spans="1:8">
      <c r="A53" s="5" t="s">
        <v>210</v>
      </c>
      <c r="B53" s="5" t="s">
        <v>81</v>
      </c>
      <c r="C53" s="5" t="s">
        <v>117</v>
      </c>
      <c r="D53" s="5" t="s">
        <v>89</v>
      </c>
      <c r="E53" s="5" t="s">
        <v>315</v>
      </c>
      <c r="F53" s="5" t="s">
        <v>84</v>
      </c>
      <c r="G53" s="5" t="s">
        <v>91</v>
      </c>
      <c r="H53" s="5" t="s">
        <v>92</v>
      </c>
    </row>
    <row r="54" spans="1:8">
      <c r="A54" s="5" t="s">
        <v>215</v>
      </c>
      <c r="B54" s="5" t="s">
        <v>81</v>
      </c>
      <c r="C54" s="5" t="s">
        <v>317</v>
      </c>
      <c r="D54" s="5" t="s">
        <v>318</v>
      </c>
      <c r="E54" s="5"/>
      <c r="F54" s="5" t="s">
        <v>84</v>
      </c>
      <c r="G54" s="5" t="s">
        <v>319</v>
      </c>
      <c r="H54" s="5" t="s">
        <v>320</v>
      </c>
    </row>
    <row r="55" spans="1:8">
      <c r="A55" s="5" t="s">
        <v>222</v>
      </c>
      <c r="B55" s="5" t="s">
        <v>81</v>
      </c>
      <c r="C55" s="5" t="s">
        <v>128</v>
      </c>
      <c r="D55" s="5" t="s">
        <v>262</v>
      </c>
      <c r="E55" s="5" t="s">
        <v>322</v>
      </c>
      <c r="F55" s="5" t="s">
        <v>84</v>
      </c>
      <c r="G55" s="5" t="s">
        <v>323</v>
      </c>
      <c r="H55" s="5" t="s">
        <v>324</v>
      </c>
    </row>
    <row r="56" spans="1:8">
      <c r="A56" s="5" t="s">
        <v>225</v>
      </c>
      <c r="B56" s="5" t="s">
        <v>81</v>
      </c>
      <c r="C56" s="5" t="s">
        <v>261</v>
      </c>
      <c r="D56" s="5" t="s">
        <v>262</v>
      </c>
      <c r="E56" s="5" t="s">
        <v>292</v>
      </c>
      <c r="F56" s="5" t="s">
        <v>84</v>
      </c>
      <c r="G56" s="5" t="s">
        <v>293</v>
      </c>
      <c r="H56" s="5" t="s">
        <v>294</v>
      </c>
    </row>
    <row r="57" spans="1:8">
      <c r="A57" s="5" t="s">
        <v>227</v>
      </c>
      <c r="B57" s="5" t="s">
        <v>81</v>
      </c>
      <c r="C57" s="5" t="s">
        <v>327</v>
      </c>
      <c r="D57" s="5" t="s">
        <v>328</v>
      </c>
      <c r="E57" s="5" t="s">
        <v>329</v>
      </c>
      <c r="F57" s="5" t="s">
        <v>84</v>
      </c>
      <c r="G57" s="5" t="s">
        <v>330</v>
      </c>
      <c r="H57" s="5" t="s">
        <v>331</v>
      </c>
    </row>
    <row r="58" spans="1:8">
      <c r="A58" s="5" t="s">
        <v>229</v>
      </c>
      <c r="B58" s="5" t="s">
        <v>81</v>
      </c>
      <c r="C58" s="5" t="s">
        <v>111</v>
      </c>
      <c r="D58" s="5" t="s">
        <v>333</v>
      </c>
      <c r="E58" s="5"/>
      <c r="F58" s="5" t="s">
        <v>84</v>
      </c>
      <c r="G58" s="5" t="s">
        <v>334</v>
      </c>
      <c r="H58" s="5" t="s">
        <v>335</v>
      </c>
    </row>
    <row r="59" spans="1:8">
      <c r="A59" s="5" t="s">
        <v>234</v>
      </c>
      <c r="B59" s="5" t="s">
        <v>81</v>
      </c>
      <c r="C59" s="5" t="s">
        <v>337</v>
      </c>
      <c r="D59" s="5" t="s">
        <v>106</v>
      </c>
      <c r="E59" s="5" t="s">
        <v>107</v>
      </c>
      <c r="F59" s="5" t="s">
        <v>32</v>
      </c>
      <c r="G59" s="5" t="s">
        <v>108</v>
      </c>
      <c r="H59" s="5" t="s">
        <v>109</v>
      </c>
    </row>
    <row r="60" spans="1:8">
      <c r="A60" s="5" t="s">
        <v>239</v>
      </c>
      <c r="B60" s="5" t="s">
        <v>81</v>
      </c>
      <c r="C60" s="5" t="s">
        <v>261</v>
      </c>
      <c r="D60" s="5" t="s">
        <v>262</v>
      </c>
      <c r="E60" s="5" t="s">
        <v>339</v>
      </c>
      <c r="F60" s="5" t="s">
        <v>84</v>
      </c>
      <c r="G60" s="5" t="s">
        <v>323</v>
      </c>
      <c r="H60" s="5" t="s">
        <v>324</v>
      </c>
    </row>
    <row r="61" spans="1:8">
      <c r="A61" s="5" t="s">
        <v>245</v>
      </c>
      <c r="B61" s="5" t="s">
        <v>81</v>
      </c>
      <c r="C61" s="5" t="s">
        <v>128</v>
      </c>
      <c r="D61" s="5" t="s">
        <v>262</v>
      </c>
      <c r="E61" s="5" t="s">
        <v>339</v>
      </c>
      <c r="F61" s="5" t="s">
        <v>84</v>
      </c>
      <c r="G61" s="5" t="s">
        <v>323</v>
      </c>
      <c r="H61" s="5" t="s">
        <v>324</v>
      </c>
    </row>
    <row r="62" spans="1:8">
      <c r="A62" s="5" t="s">
        <v>249</v>
      </c>
      <c r="B62" s="5" t="s">
        <v>81</v>
      </c>
      <c r="C62" s="5" t="s">
        <v>342</v>
      </c>
      <c r="D62" s="5" t="s">
        <v>343</v>
      </c>
      <c r="E62" s="5"/>
      <c r="F62" s="5" t="s">
        <v>84</v>
      </c>
      <c r="G62" s="5" t="s">
        <v>344</v>
      </c>
      <c r="H62" s="5" t="s">
        <v>345</v>
      </c>
    </row>
    <row r="63" spans="1:8">
      <c r="A63" s="5" t="s">
        <v>251</v>
      </c>
      <c r="B63" s="5" t="s">
        <v>81</v>
      </c>
      <c r="C63" s="5" t="s">
        <v>347</v>
      </c>
      <c r="D63" s="5" t="s">
        <v>348</v>
      </c>
      <c r="E63" s="5"/>
      <c r="F63" s="5" t="s">
        <v>84</v>
      </c>
      <c r="G63" s="5" t="s">
        <v>349</v>
      </c>
      <c r="H63" s="5" t="s">
        <v>350</v>
      </c>
    </row>
    <row r="64" spans="1:8">
      <c r="A64" s="5" t="s">
        <v>256</v>
      </c>
      <c r="B64" s="5" t="s">
        <v>81</v>
      </c>
      <c r="C64" s="5" t="s">
        <v>88</v>
      </c>
      <c r="D64" s="5" t="s">
        <v>89</v>
      </c>
      <c r="E64" s="5" t="s">
        <v>176</v>
      </c>
      <c r="F64" s="5"/>
      <c r="G64" s="5" t="s">
        <v>177</v>
      </c>
      <c r="H64" s="5" t="s">
        <v>178</v>
      </c>
    </row>
    <row r="65" spans="1:8">
      <c r="A65" s="5" t="s">
        <v>258</v>
      </c>
      <c r="B65" s="5" t="s">
        <v>81</v>
      </c>
      <c r="C65" s="5" t="s">
        <v>353</v>
      </c>
      <c r="D65" s="5" t="s">
        <v>354</v>
      </c>
      <c r="E65" s="5"/>
      <c r="F65" s="5" t="s">
        <v>84</v>
      </c>
      <c r="G65" s="5" t="s">
        <v>355</v>
      </c>
      <c r="H65" s="5" t="s">
        <v>356</v>
      </c>
    </row>
    <row r="66" spans="1:8">
      <c r="A66" s="5" t="s">
        <v>260</v>
      </c>
      <c r="B66" s="5" t="s">
        <v>81</v>
      </c>
      <c r="C66" s="5" t="s">
        <v>358</v>
      </c>
      <c r="D66" s="5" t="s">
        <v>134</v>
      </c>
      <c r="E66" s="5" t="s">
        <v>135</v>
      </c>
      <c r="F66" s="5" t="s">
        <v>84</v>
      </c>
      <c r="G66" s="5" t="s">
        <v>136</v>
      </c>
      <c r="H66" s="5" t="s">
        <v>137</v>
      </c>
    </row>
    <row r="67" spans="1:8">
      <c r="A67" s="5" t="s">
        <v>265</v>
      </c>
      <c r="B67" s="5" t="s">
        <v>81</v>
      </c>
      <c r="C67" s="5" t="s">
        <v>360</v>
      </c>
      <c r="D67" s="5" t="s">
        <v>361</v>
      </c>
      <c r="E67" s="5" t="s">
        <v>362</v>
      </c>
      <c r="F67" s="5" t="s">
        <v>84</v>
      </c>
      <c r="G67" s="5" t="s">
        <v>363</v>
      </c>
      <c r="H67" s="5" t="s">
        <v>364</v>
      </c>
    </row>
    <row r="68" spans="1:8">
      <c r="A68" s="5" t="s">
        <v>269</v>
      </c>
      <c r="B68" s="5" t="s">
        <v>81</v>
      </c>
      <c r="C68" s="5" t="s">
        <v>366</v>
      </c>
      <c r="D68" s="5" t="s">
        <v>247</v>
      </c>
      <c r="E68" s="5" t="s">
        <v>253</v>
      </c>
      <c r="F68" s="5" t="s">
        <v>84</v>
      </c>
      <c r="G68" s="5" t="s">
        <v>254</v>
      </c>
      <c r="H68" s="5" t="s">
        <v>255</v>
      </c>
    </row>
    <row r="69" spans="1:8">
      <c r="A69" s="5" t="s">
        <v>275</v>
      </c>
      <c r="B69" s="5" t="s">
        <v>81</v>
      </c>
      <c r="C69" s="5" t="s">
        <v>175</v>
      </c>
      <c r="D69" s="5" t="s">
        <v>89</v>
      </c>
      <c r="E69" s="5" t="s">
        <v>368</v>
      </c>
      <c r="F69" s="5"/>
      <c r="G69" s="5" t="s">
        <v>369</v>
      </c>
      <c r="H69" s="5" t="s">
        <v>370</v>
      </c>
    </row>
    <row r="70" spans="1:8">
      <c r="A70" s="5" t="s">
        <v>278</v>
      </c>
      <c r="B70" s="5" t="s">
        <v>81</v>
      </c>
      <c r="C70" s="5" t="s">
        <v>372</v>
      </c>
      <c r="D70" s="5" t="s">
        <v>373</v>
      </c>
      <c r="E70" s="5"/>
      <c r="F70" s="5" t="s">
        <v>84</v>
      </c>
      <c r="G70" s="5" t="s">
        <v>374</v>
      </c>
      <c r="H70" s="5" t="s">
        <v>375</v>
      </c>
    </row>
    <row r="71" spans="1:8">
      <c r="A71" s="5" t="s">
        <v>280</v>
      </c>
      <c r="B71" s="5" t="s">
        <v>81</v>
      </c>
      <c r="C71" s="5" t="s">
        <v>377</v>
      </c>
      <c r="D71" s="5" t="s">
        <v>378</v>
      </c>
      <c r="E71" s="5" t="s">
        <v>197</v>
      </c>
      <c r="F71" s="5" t="s">
        <v>32</v>
      </c>
      <c r="G71" s="5" t="s">
        <v>198</v>
      </c>
      <c r="H71" s="5" t="s">
        <v>199</v>
      </c>
    </row>
    <row r="72" spans="1:8">
      <c r="A72" s="5" t="s">
        <v>285</v>
      </c>
      <c r="B72" s="5" t="s">
        <v>81</v>
      </c>
      <c r="C72" s="5" t="s">
        <v>246</v>
      </c>
      <c r="D72" s="5" t="s">
        <v>290</v>
      </c>
      <c r="E72" s="5"/>
      <c r="F72" s="5"/>
      <c r="G72" s="5" t="s">
        <v>155</v>
      </c>
      <c r="H72" s="5" t="s">
        <v>156</v>
      </c>
    </row>
    <row r="73" spans="1:8">
      <c r="A73" s="5" t="s">
        <v>287</v>
      </c>
      <c r="B73" s="5" t="s">
        <v>81</v>
      </c>
      <c r="C73" s="5" t="s">
        <v>327</v>
      </c>
      <c r="D73" s="5" t="s">
        <v>381</v>
      </c>
      <c r="E73" s="5"/>
      <c r="F73" s="5" t="s">
        <v>84</v>
      </c>
      <c r="G73" s="5" t="s">
        <v>382</v>
      </c>
      <c r="H73" s="5" t="s">
        <v>383</v>
      </c>
    </row>
    <row r="74" spans="1:8">
      <c r="A74" s="5" t="s">
        <v>288</v>
      </c>
      <c r="B74" s="5" t="s">
        <v>81</v>
      </c>
      <c r="C74" s="5" t="s">
        <v>111</v>
      </c>
      <c r="D74" s="5" t="s">
        <v>112</v>
      </c>
      <c r="E74" s="5" t="s">
        <v>257</v>
      </c>
      <c r="F74" s="5" t="s">
        <v>84</v>
      </c>
      <c r="G74" s="5" t="s">
        <v>114</v>
      </c>
      <c r="H74" s="5" t="s">
        <v>115</v>
      </c>
    </row>
    <row r="75" spans="1:8">
      <c r="A75" s="5" t="s">
        <v>291</v>
      </c>
      <c r="B75" s="5" t="s">
        <v>81</v>
      </c>
      <c r="C75" s="5" t="s">
        <v>82</v>
      </c>
      <c r="D75" s="5" t="s">
        <v>389</v>
      </c>
      <c r="E75" s="5"/>
      <c r="F75" s="5" t="s">
        <v>84</v>
      </c>
      <c r="G75" s="5" t="s">
        <v>85</v>
      </c>
      <c r="H75" s="5" t="s">
        <v>86</v>
      </c>
    </row>
    <row r="76" spans="1:8">
      <c r="A76" s="5" t="s">
        <v>295</v>
      </c>
      <c r="B76" s="5" t="s">
        <v>81</v>
      </c>
      <c r="C76" s="5" t="s">
        <v>82</v>
      </c>
      <c r="D76" s="5" t="s">
        <v>391</v>
      </c>
      <c r="E76" s="5"/>
      <c r="F76" s="5" t="s">
        <v>84</v>
      </c>
      <c r="G76" s="5" t="s">
        <v>85</v>
      </c>
      <c r="H76" s="5" t="s">
        <v>86</v>
      </c>
    </row>
    <row r="77" spans="1:8">
      <c r="A77" s="5" t="s">
        <v>299</v>
      </c>
      <c r="B77" s="5" t="s">
        <v>81</v>
      </c>
      <c r="C77" s="5" t="s">
        <v>393</v>
      </c>
      <c r="D77" s="5" t="s">
        <v>394</v>
      </c>
      <c r="E77" s="5" t="s">
        <v>395</v>
      </c>
      <c r="F77" s="5" t="s">
        <v>32</v>
      </c>
      <c r="G77" s="5" t="s">
        <v>396</v>
      </c>
      <c r="H77" s="5" t="s">
        <v>397</v>
      </c>
    </row>
    <row r="78" spans="1:8">
      <c r="A78" s="5" t="s">
        <v>300</v>
      </c>
      <c r="B78" s="5" t="s">
        <v>81</v>
      </c>
      <c r="C78" s="5" t="s">
        <v>399</v>
      </c>
      <c r="D78" s="5" t="s">
        <v>180</v>
      </c>
      <c r="E78" s="5"/>
      <c r="F78" s="5"/>
      <c r="G78" s="5" t="s">
        <v>155</v>
      </c>
      <c r="H78" s="5" t="s">
        <v>156</v>
      </c>
    </row>
    <row r="79" spans="1:8">
      <c r="A79" s="5" t="s">
        <v>302</v>
      </c>
      <c r="B79" s="5" t="s">
        <v>81</v>
      </c>
      <c r="C79" s="5" t="s">
        <v>401</v>
      </c>
      <c r="D79" s="5" t="s">
        <v>402</v>
      </c>
      <c r="E79" s="5"/>
      <c r="F79" s="5" t="s">
        <v>84</v>
      </c>
      <c r="G79" s="5" t="s">
        <v>403</v>
      </c>
      <c r="H79" s="5" t="s">
        <v>404</v>
      </c>
    </row>
    <row r="80" spans="1:8">
      <c r="A80" s="5" t="s">
        <v>304</v>
      </c>
      <c r="B80" s="5" t="s">
        <v>81</v>
      </c>
      <c r="C80" s="5" t="s">
        <v>111</v>
      </c>
      <c r="D80" s="5" t="s">
        <v>406</v>
      </c>
      <c r="E80" s="5"/>
      <c r="F80" s="5" t="s">
        <v>84</v>
      </c>
      <c r="G80" s="5" t="s">
        <v>407</v>
      </c>
      <c r="H80" s="5" t="s">
        <v>408</v>
      </c>
    </row>
    <row r="81" spans="1:8">
      <c r="A81" s="5" t="s">
        <v>309</v>
      </c>
      <c r="B81" s="5" t="s">
        <v>81</v>
      </c>
      <c r="C81" s="5" t="s">
        <v>410</v>
      </c>
      <c r="D81" s="5" t="s">
        <v>411</v>
      </c>
      <c r="E81" s="5"/>
      <c r="F81" s="5" t="s">
        <v>84</v>
      </c>
      <c r="G81" s="5" t="s">
        <v>412</v>
      </c>
      <c r="H81" s="5" t="s">
        <v>413</v>
      </c>
    </row>
    <row r="82" spans="1:8">
      <c r="A82" s="5" t="s">
        <v>314</v>
      </c>
      <c r="B82" s="5" t="s">
        <v>81</v>
      </c>
      <c r="C82" s="5" t="s">
        <v>415</v>
      </c>
      <c r="D82" s="5" t="s">
        <v>373</v>
      </c>
      <c r="E82" s="5"/>
      <c r="F82" s="5" t="s">
        <v>84</v>
      </c>
      <c r="G82" s="5" t="s">
        <v>374</v>
      </c>
      <c r="H82" s="5" t="s">
        <v>375</v>
      </c>
    </row>
    <row r="83" spans="1:8">
      <c r="A83" s="5" t="s">
        <v>316</v>
      </c>
      <c r="B83" s="5" t="s">
        <v>81</v>
      </c>
      <c r="C83" s="5" t="s">
        <v>417</v>
      </c>
      <c r="D83" s="5" t="s">
        <v>402</v>
      </c>
      <c r="E83" s="5"/>
      <c r="F83" s="5" t="s">
        <v>84</v>
      </c>
      <c r="G83" s="5" t="s">
        <v>403</v>
      </c>
      <c r="H83" s="5" t="s">
        <v>404</v>
      </c>
    </row>
    <row r="84" spans="1:8">
      <c r="A84" s="5" t="s">
        <v>321</v>
      </c>
      <c r="B84" s="5" t="s">
        <v>81</v>
      </c>
      <c r="C84" s="5" t="s">
        <v>117</v>
      </c>
      <c r="D84" s="5" t="s">
        <v>95</v>
      </c>
      <c r="E84" s="5" t="s">
        <v>96</v>
      </c>
      <c r="F84" s="5" t="s">
        <v>84</v>
      </c>
      <c r="G84" s="5" t="s">
        <v>97</v>
      </c>
      <c r="H84" s="5" t="s">
        <v>98</v>
      </c>
    </row>
    <row r="85" spans="1:8">
      <c r="A85" s="5" t="s">
        <v>325</v>
      </c>
      <c r="B85" s="5" t="s">
        <v>81</v>
      </c>
      <c r="C85" s="5" t="s">
        <v>420</v>
      </c>
      <c r="D85" s="5" t="s">
        <v>421</v>
      </c>
      <c r="E85" s="5"/>
      <c r="F85" s="5" t="s">
        <v>84</v>
      </c>
      <c r="G85" s="5" t="s">
        <v>422</v>
      </c>
      <c r="H85" s="5" t="s">
        <v>423</v>
      </c>
    </row>
    <row r="86" spans="1:8">
      <c r="A86" s="5" t="s">
        <v>326</v>
      </c>
      <c r="B86" s="5" t="s">
        <v>81</v>
      </c>
      <c r="C86" s="5" t="s">
        <v>82</v>
      </c>
      <c r="D86" s="5" t="s">
        <v>425</v>
      </c>
      <c r="E86" s="5"/>
      <c r="F86" s="5" t="s">
        <v>84</v>
      </c>
      <c r="G86" s="5" t="s">
        <v>85</v>
      </c>
      <c r="H86" s="5" t="s">
        <v>86</v>
      </c>
    </row>
    <row r="87" spans="1:8">
      <c r="A87" s="5" t="s">
        <v>332</v>
      </c>
      <c r="B87" s="5" t="s">
        <v>81</v>
      </c>
      <c r="C87" s="5" t="s">
        <v>427</v>
      </c>
      <c r="D87" s="5" t="s">
        <v>428</v>
      </c>
      <c r="E87" s="5" t="s">
        <v>107</v>
      </c>
      <c r="F87" s="5" t="s">
        <v>32</v>
      </c>
      <c r="G87" s="5" t="s">
        <v>108</v>
      </c>
      <c r="H87" s="5" t="s">
        <v>109</v>
      </c>
    </row>
    <row r="88" spans="1:8">
      <c r="A88" s="5" t="s">
        <v>336</v>
      </c>
      <c r="B88" s="5" t="s">
        <v>81</v>
      </c>
      <c r="C88" s="5" t="s">
        <v>430</v>
      </c>
      <c r="D88" s="5" t="s">
        <v>431</v>
      </c>
      <c r="E88" s="5"/>
      <c r="F88" s="5"/>
      <c r="G88" s="5" t="s">
        <v>432</v>
      </c>
      <c r="H88" s="5" t="s">
        <v>433</v>
      </c>
    </row>
    <row r="89" spans="1:8">
      <c r="A89" s="5" t="s">
        <v>338</v>
      </c>
      <c r="B89" s="5" t="s">
        <v>81</v>
      </c>
      <c r="C89" s="5" t="s">
        <v>123</v>
      </c>
      <c r="D89" s="5" t="s">
        <v>435</v>
      </c>
      <c r="E89" s="5" t="s">
        <v>119</v>
      </c>
      <c r="F89" s="5" t="s">
        <v>84</v>
      </c>
      <c r="G89" s="5" t="s">
        <v>120</v>
      </c>
      <c r="H89" s="5" t="s">
        <v>121</v>
      </c>
    </row>
    <row r="90" spans="1:8">
      <c r="A90" s="5" t="s">
        <v>340</v>
      </c>
      <c r="B90" s="5" t="s">
        <v>81</v>
      </c>
      <c r="C90" s="5" t="s">
        <v>82</v>
      </c>
      <c r="D90" s="5" t="s">
        <v>437</v>
      </c>
      <c r="E90" s="5"/>
      <c r="F90" s="5" t="s">
        <v>84</v>
      </c>
      <c r="G90" s="5" t="s">
        <v>85</v>
      </c>
      <c r="H90" s="5" t="s">
        <v>86</v>
      </c>
    </row>
    <row r="91" spans="1:8">
      <c r="A91" s="5" t="s">
        <v>341</v>
      </c>
      <c r="B91" s="5" t="s">
        <v>81</v>
      </c>
      <c r="C91" s="5" t="s">
        <v>175</v>
      </c>
      <c r="D91" s="5" t="s">
        <v>89</v>
      </c>
      <c r="E91" s="5" t="s">
        <v>90</v>
      </c>
      <c r="F91" s="5" t="s">
        <v>84</v>
      </c>
      <c r="G91" s="5" t="s">
        <v>91</v>
      </c>
      <c r="H91" s="5" t="s">
        <v>92</v>
      </c>
    </row>
    <row r="92" spans="1:8">
      <c r="A92" s="5" t="s">
        <v>346</v>
      </c>
      <c r="B92" s="5" t="s">
        <v>81</v>
      </c>
      <c r="C92" s="5" t="s">
        <v>440</v>
      </c>
      <c r="D92" s="5" t="s">
        <v>441</v>
      </c>
      <c r="E92" s="5" t="s">
        <v>119</v>
      </c>
      <c r="F92" s="5" t="s">
        <v>84</v>
      </c>
      <c r="G92" s="5" t="s">
        <v>120</v>
      </c>
      <c r="H92" s="5" t="s">
        <v>121</v>
      </c>
    </row>
    <row r="93" spans="1:8">
      <c r="A93" s="5" t="s">
        <v>351</v>
      </c>
      <c r="B93" s="5" t="s">
        <v>81</v>
      </c>
      <c r="C93" s="5" t="s">
        <v>82</v>
      </c>
      <c r="D93" s="5" t="s">
        <v>443</v>
      </c>
      <c r="E93" s="5"/>
      <c r="F93" s="5" t="s">
        <v>84</v>
      </c>
      <c r="G93" s="5" t="s">
        <v>85</v>
      </c>
      <c r="H93" s="5" t="s">
        <v>86</v>
      </c>
    </row>
    <row r="94" spans="1:8">
      <c r="A94" s="5" t="s">
        <v>352</v>
      </c>
      <c r="B94" s="5" t="s">
        <v>81</v>
      </c>
      <c r="C94" s="5" t="s">
        <v>165</v>
      </c>
      <c r="D94" s="5" t="s">
        <v>445</v>
      </c>
      <c r="E94" s="5"/>
      <c r="F94" s="5" t="s">
        <v>84</v>
      </c>
      <c r="G94" s="5" t="s">
        <v>167</v>
      </c>
      <c r="H94" s="5" t="s">
        <v>168</v>
      </c>
    </row>
    <row r="95" spans="1:8">
      <c r="A95" s="5" t="s">
        <v>357</v>
      </c>
      <c r="B95" s="5" t="s">
        <v>81</v>
      </c>
      <c r="C95" s="5" t="s">
        <v>117</v>
      </c>
      <c r="D95" s="5" t="s">
        <v>89</v>
      </c>
      <c r="E95" s="5" t="s">
        <v>90</v>
      </c>
      <c r="F95" s="5" t="s">
        <v>84</v>
      </c>
      <c r="G95" s="5" t="s">
        <v>91</v>
      </c>
      <c r="H95" s="5" t="s">
        <v>92</v>
      </c>
    </row>
    <row r="96" spans="1:8">
      <c r="A96" s="5" t="s">
        <v>359</v>
      </c>
      <c r="B96" s="5" t="s">
        <v>81</v>
      </c>
      <c r="C96" s="5" t="s">
        <v>448</v>
      </c>
      <c r="D96" s="5" t="s">
        <v>373</v>
      </c>
      <c r="E96" s="5"/>
      <c r="F96" s="5" t="s">
        <v>84</v>
      </c>
      <c r="G96" s="5" t="s">
        <v>374</v>
      </c>
      <c r="H96" s="5" t="s">
        <v>375</v>
      </c>
    </row>
    <row r="97" spans="1:8">
      <c r="A97" s="5" t="s">
        <v>365</v>
      </c>
      <c r="B97" s="5" t="s">
        <v>81</v>
      </c>
      <c r="C97" s="5" t="s">
        <v>450</v>
      </c>
      <c r="D97" s="5" t="s">
        <v>451</v>
      </c>
      <c r="E97" s="5"/>
      <c r="F97" s="5" t="s">
        <v>84</v>
      </c>
      <c r="G97" s="5" t="s">
        <v>232</v>
      </c>
      <c r="H97" s="5" t="s">
        <v>233</v>
      </c>
    </row>
    <row r="98" spans="1:8">
      <c r="A98" s="5" t="s">
        <v>367</v>
      </c>
      <c r="B98" s="5" t="s">
        <v>81</v>
      </c>
      <c r="C98" s="5" t="s">
        <v>310</v>
      </c>
      <c r="D98" s="5" t="s">
        <v>453</v>
      </c>
      <c r="E98" s="5"/>
      <c r="F98" s="5" t="s">
        <v>84</v>
      </c>
      <c r="G98" s="5" t="s">
        <v>454</v>
      </c>
      <c r="H98" s="5" t="s">
        <v>455</v>
      </c>
    </row>
    <row r="99" spans="1:8">
      <c r="A99" s="5" t="s">
        <v>371</v>
      </c>
      <c r="B99" s="5" t="s">
        <v>81</v>
      </c>
      <c r="C99" s="5" t="s">
        <v>399</v>
      </c>
      <c r="D99" s="5" t="s">
        <v>154</v>
      </c>
      <c r="E99" s="5"/>
      <c r="F99" s="5"/>
      <c r="G99" s="5" t="s">
        <v>155</v>
      </c>
      <c r="H99" s="5" t="s">
        <v>156</v>
      </c>
    </row>
    <row r="100" spans="1:8">
      <c r="A100" s="5" t="s">
        <v>376</v>
      </c>
      <c r="B100" s="5" t="s">
        <v>81</v>
      </c>
      <c r="C100" s="5" t="s">
        <v>123</v>
      </c>
      <c r="D100" s="5" t="s">
        <v>458</v>
      </c>
      <c r="E100" s="5"/>
      <c r="F100" s="5" t="s">
        <v>84</v>
      </c>
      <c r="G100" s="5" t="s">
        <v>459</v>
      </c>
      <c r="H100" s="5" t="s">
        <v>460</v>
      </c>
    </row>
    <row r="101" spans="1:8">
      <c r="A101" s="5" t="s">
        <v>379</v>
      </c>
      <c r="B101" s="5" t="s">
        <v>81</v>
      </c>
      <c r="C101" s="5" t="s">
        <v>372</v>
      </c>
      <c r="D101" s="5" t="s">
        <v>462</v>
      </c>
      <c r="E101" s="5"/>
      <c r="F101" s="5" t="s">
        <v>84</v>
      </c>
      <c r="G101" s="5" t="s">
        <v>412</v>
      </c>
      <c r="H101" s="5" t="s">
        <v>413</v>
      </c>
    </row>
    <row r="102" spans="1:8">
      <c r="A102" s="5" t="s">
        <v>380</v>
      </c>
      <c r="B102" s="5" t="s">
        <v>81</v>
      </c>
      <c r="C102" s="5" t="s">
        <v>417</v>
      </c>
      <c r="D102" s="5" t="s">
        <v>464</v>
      </c>
      <c r="E102" s="5"/>
      <c r="F102" s="5" t="s">
        <v>84</v>
      </c>
      <c r="G102" s="5" t="s">
        <v>465</v>
      </c>
      <c r="H102" s="5" t="s">
        <v>466</v>
      </c>
    </row>
    <row r="103" spans="1:8">
      <c r="A103" s="5" t="s">
        <v>384</v>
      </c>
      <c r="B103" s="5" t="s">
        <v>81</v>
      </c>
      <c r="C103" s="5" t="s">
        <v>468</v>
      </c>
      <c r="D103" s="5" t="s">
        <v>469</v>
      </c>
      <c r="E103" s="5"/>
      <c r="F103" s="5" t="s">
        <v>84</v>
      </c>
      <c r="G103" s="5" t="s">
        <v>470</v>
      </c>
      <c r="H103" s="5" t="s">
        <v>471</v>
      </c>
    </row>
    <row r="104" spans="1:8">
      <c r="A104" s="5" t="s">
        <v>385</v>
      </c>
      <c r="B104" s="5" t="s">
        <v>81</v>
      </c>
      <c r="C104" s="5" t="s">
        <v>117</v>
      </c>
      <c r="D104" s="5" t="s">
        <v>95</v>
      </c>
      <c r="E104" s="5" t="s">
        <v>119</v>
      </c>
      <c r="F104" s="5" t="s">
        <v>84</v>
      </c>
      <c r="G104" s="5" t="s">
        <v>120</v>
      </c>
      <c r="H104" s="5" t="s">
        <v>121</v>
      </c>
    </row>
    <row r="105" spans="1:8">
      <c r="A105" s="5" t="s">
        <v>388</v>
      </c>
      <c r="B105" s="5" t="s">
        <v>81</v>
      </c>
      <c r="C105" s="5" t="s">
        <v>148</v>
      </c>
      <c r="D105" s="5" t="s">
        <v>474</v>
      </c>
      <c r="E105" s="5"/>
      <c r="F105" s="5" t="s">
        <v>84</v>
      </c>
      <c r="G105" s="5" t="s">
        <v>475</v>
      </c>
      <c r="H105" s="5" t="s">
        <v>476</v>
      </c>
    </row>
    <row r="106" spans="1:8">
      <c r="A106" s="5" t="s">
        <v>390</v>
      </c>
      <c r="B106" s="5" t="s">
        <v>81</v>
      </c>
      <c r="C106" s="5" t="s">
        <v>377</v>
      </c>
      <c r="D106" s="5" t="s">
        <v>478</v>
      </c>
      <c r="E106" s="5" t="s">
        <v>119</v>
      </c>
      <c r="F106" s="5" t="s">
        <v>84</v>
      </c>
      <c r="G106" s="5" t="s">
        <v>120</v>
      </c>
      <c r="H106" s="5" t="s">
        <v>121</v>
      </c>
    </row>
    <row r="107" spans="1:8">
      <c r="A107" s="5" t="s">
        <v>392</v>
      </c>
      <c r="B107" s="5" t="s">
        <v>81</v>
      </c>
      <c r="C107" s="5" t="s">
        <v>117</v>
      </c>
      <c r="D107" s="5" t="s">
        <v>482</v>
      </c>
      <c r="E107" s="5"/>
      <c r="F107" s="5" t="s">
        <v>84</v>
      </c>
      <c r="G107" s="5" t="s">
        <v>483</v>
      </c>
      <c r="H107" s="5" t="s">
        <v>484</v>
      </c>
    </row>
    <row r="108" spans="1:8">
      <c r="A108" s="5" t="s">
        <v>398</v>
      </c>
      <c r="B108" s="5" t="s">
        <v>81</v>
      </c>
      <c r="C108" s="5" t="s">
        <v>201</v>
      </c>
      <c r="D108" s="5" t="s">
        <v>486</v>
      </c>
      <c r="E108" s="5"/>
      <c r="F108" s="5" t="s">
        <v>84</v>
      </c>
      <c r="G108" s="5" t="s">
        <v>203</v>
      </c>
      <c r="H108" s="5" t="s">
        <v>204</v>
      </c>
    </row>
    <row r="109" spans="1:8">
      <c r="A109" s="5" t="s">
        <v>400</v>
      </c>
      <c r="B109" s="5" t="s">
        <v>81</v>
      </c>
      <c r="C109" s="5" t="s">
        <v>358</v>
      </c>
      <c r="D109" s="5" t="s">
        <v>134</v>
      </c>
      <c r="E109" s="5" t="s">
        <v>488</v>
      </c>
      <c r="F109" s="5" t="s">
        <v>84</v>
      </c>
      <c r="G109" s="5" t="s">
        <v>136</v>
      </c>
      <c r="H109" s="5" t="s">
        <v>137</v>
      </c>
    </row>
    <row r="110" spans="1:8">
      <c r="A110" s="5" t="s">
        <v>405</v>
      </c>
      <c r="B110" s="5" t="s">
        <v>81</v>
      </c>
      <c r="C110" s="5" t="s">
        <v>82</v>
      </c>
      <c r="D110" s="5" t="s">
        <v>490</v>
      </c>
      <c r="E110" s="5"/>
      <c r="F110" s="5" t="s">
        <v>84</v>
      </c>
      <c r="G110" s="5" t="s">
        <v>85</v>
      </c>
      <c r="H110" s="5" t="s">
        <v>86</v>
      </c>
    </row>
    <row r="111" spans="1:8">
      <c r="A111" s="5" t="s">
        <v>409</v>
      </c>
      <c r="B111" s="5" t="s">
        <v>81</v>
      </c>
      <c r="C111" s="5" t="s">
        <v>175</v>
      </c>
      <c r="D111" s="5" t="s">
        <v>89</v>
      </c>
      <c r="E111" s="5" t="s">
        <v>492</v>
      </c>
      <c r="F111" s="5" t="s">
        <v>84</v>
      </c>
      <c r="G111" s="5" t="s">
        <v>91</v>
      </c>
      <c r="H111" s="5" t="s">
        <v>92</v>
      </c>
    </row>
    <row r="112" spans="1:8">
      <c r="A112" s="5" t="s">
        <v>414</v>
      </c>
      <c r="B112" s="5" t="s">
        <v>81</v>
      </c>
      <c r="C112" s="5" t="s">
        <v>82</v>
      </c>
      <c r="D112" s="5" t="s">
        <v>494</v>
      </c>
      <c r="E112" s="5"/>
      <c r="F112" s="5" t="s">
        <v>84</v>
      </c>
      <c r="G112" s="5" t="s">
        <v>85</v>
      </c>
      <c r="H112" s="5" t="s">
        <v>86</v>
      </c>
    </row>
    <row r="113" spans="1:8">
      <c r="A113" s="5" t="s">
        <v>416</v>
      </c>
      <c r="B113" s="5" t="s">
        <v>81</v>
      </c>
      <c r="C113" s="5" t="s">
        <v>111</v>
      </c>
      <c r="D113" s="5" t="s">
        <v>496</v>
      </c>
      <c r="E113" s="5"/>
      <c r="F113" s="5" t="s">
        <v>84</v>
      </c>
      <c r="G113" s="5" t="s">
        <v>497</v>
      </c>
      <c r="H113" s="5" t="s">
        <v>498</v>
      </c>
    </row>
    <row r="114" spans="1:8">
      <c r="A114" s="5" t="s">
        <v>418</v>
      </c>
      <c r="B114" s="5" t="s">
        <v>81</v>
      </c>
      <c r="C114" s="5" t="s">
        <v>117</v>
      </c>
      <c r="D114" s="5" t="s">
        <v>500</v>
      </c>
      <c r="E114" s="5" t="s">
        <v>242</v>
      </c>
      <c r="F114" s="5" t="s">
        <v>32</v>
      </c>
      <c r="G114" s="5" t="s">
        <v>243</v>
      </c>
      <c r="H114" s="5" t="s">
        <v>244</v>
      </c>
    </row>
    <row r="115" spans="1:8">
      <c r="A115" s="5" t="s">
        <v>419</v>
      </c>
      <c r="B115" s="5" t="s">
        <v>81</v>
      </c>
      <c r="C115" s="5" t="s">
        <v>111</v>
      </c>
      <c r="D115" s="5" t="s">
        <v>259</v>
      </c>
      <c r="E115" s="5" t="s">
        <v>502</v>
      </c>
      <c r="F115" s="5" t="s">
        <v>84</v>
      </c>
      <c r="G115" s="5" t="s">
        <v>254</v>
      </c>
      <c r="H115" s="5" t="s">
        <v>255</v>
      </c>
    </row>
    <row r="116" spans="1:8">
      <c r="A116" s="5" t="s">
        <v>424</v>
      </c>
      <c r="B116" s="5" t="s">
        <v>81</v>
      </c>
      <c r="C116" s="5" t="s">
        <v>88</v>
      </c>
      <c r="D116" s="5" t="s">
        <v>89</v>
      </c>
      <c r="E116" s="5" t="s">
        <v>504</v>
      </c>
      <c r="F116" s="5"/>
      <c r="G116" s="5" t="s">
        <v>505</v>
      </c>
      <c r="H116" s="5" t="s">
        <v>506</v>
      </c>
    </row>
    <row r="117" spans="1:8">
      <c r="A117" s="5" t="s">
        <v>426</v>
      </c>
      <c r="B117" s="5" t="s">
        <v>81</v>
      </c>
      <c r="C117" s="5" t="s">
        <v>128</v>
      </c>
      <c r="D117" s="5" t="s">
        <v>328</v>
      </c>
      <c r="E117" s="5" t="s">
        <v>329</v>
      </c>
      <c r="F117" s="5" t="s">
        <v>84</v>
      </c>
      <c r="G117" s="5" t="s">
        <v>330</v>
      </c>
      <c r="H117" s="5" t="s">
        <v>331</v>
      </c>
    </row>
    <row r="118" spans="1:8">
      <c r="A118" s="5" t="s">
        <v>429</v>
      </c>
      <c r="B118" s="5" t="s">
        <v>81</v>
      </c>
      <c r="C118" s="5" t="s">
        <v>509</v>
      </c>
      <c r="D118" s="5" t="s">
        <v>510</v>
      </c>
      <c r="E118" s="5"/>
      <c r="F118" s="5" t="s">
        <v>84</v>
      </c>
      <c r="G118" s="5" t="s">
        <v>162</v>
      </c>
      <c r="H118" s="5" t="s">
        <v>163</v>
      </c>
    </row>
    <row r="119" spans="1:8">
      <c r="A119" s="5" t="s">
        <v>434</v>
      </c>
      <c r="B119" s="5" t="s">
        <v>81</v>
      </c>
      <c r="C119" s="5" t="s">
        <v>512</v>
      </c>
      <c r="D119" s="5" t="s">
        <v>194</v>
      </c>
      <c r="E119" s="5"/>
      <c r="F119" s="5"/>
      <c r="G119" s="5" t="s">
        <v>155</v>
      </c>
      <c r="H119" s="5" t="s">
        <v>156</v>
      </c>
    </row>
    <row r="120" spans="1:8">
      <c r="A120" s="5" t="s">
        <v>436</v>
      </c>
      <c r="B120" s="5" t="s">
        <v>81</v>
      </c>
      <c r="C120" s="5" t="s">
        <v>514</v>
      </c>
      <c r="D120" s="5" t="s">
        <v>515</v>
      </c>
      <c r="E120" s="5" t="s">
        <v>516</v>
      </c>
      <c r="F120" s="5" t="s">
        <v>32</v>
      </c>
      <c r="G120" s="5" t="s">
        <v>517</v>
      </c>
      <c r="H120" s="5" t="s">
        <v>518</v>
      </c>
    </row>
    <row r="121" spans="1:8">
      <c r="A121" s="5" t="s">
        <v>438</v>
      </c>
      <c r="B121" s="5" t="s">
        <v>81</v>
      </c>
      <c r="C121" s="5" t="s">
        <v>520</v>
      </c>
      <c r="D121" s="5" t="s">
        <v>521</v>
      </c>
      <c r="E121" s="5"/>
      <c r="F121" s="5"/>
      <c r="G121" s="5" t="s">
        <v>522</v>
      </c>
      <c r="H121" s="5" t="s">
        <v>523</v>
      </c>
    </row>
    <row r="122" spans="1:8">
      <c r="A122" s="5" t="s">
        <v>439</v>
      </c>
      <c r="B122" s="5" t="s">
        <v>81</v>
      </c>
      <c r="C122" s="5" t="s">
        <v>128</v>
      </c>
      <c r="D122" s="5" t="s">
        <v>525</v>
      </c>
      <c r="E122" s="5"/>
      <c r="F122" s="5" t="s">
        <v>84</v>
      </c>
      <c r="G122" s="5" t="s">
        <v>526</v>
      </c>
      <c r="H122" s="5" t="s">
        <v>527</v>
      </c>
    </row>
    <row r="123" spans="1:8">
      <c r="A123" s="5" t="s">
        <v>442</v>
      </c>
      <c r="B123" s="5" t="s">
        <v>81</v>
      </c>
      <c r="C123" s="5" t="s">
        <v>133</v>
      </c>
      <c r="D123" s="5" t="s">
        <v>134</v>
      </c>
      <c r="E123" s="5" t="s">
        <v>529</v>
      </c>
      <c r="F123" s="5" t="s">
        <v>84</v>
      </c>
      <c r="G123" s="5" t="s">
        <v>136</v>
      </c>
      <c r="H123" s="5" t="s">
        <v>137</v>
      </c>
    </row>
    <row r="124" spans="1:8">
      <c r="A124" s="5" t="s">
        <v>444</v>
      </c>
      <c r="B124" s="5" t="s">
        <v>81</v>
      </c>
      <c r="C124" s="5" t="s">
        <v>531</v>
      </c>
      <c r="D124" s="5" t="s">
        <v>532</v>
      </c>
      <c r="E124" s="5" t="s">
        <v>533</v>
      </c>
      <c r="F124" s="5" t="s">
        <v>84</v>
      </c>
      <c r="G124" s="5" t="s">
        <v>293</v>
      </c>
      <c r="H124" s="5" t="s">
        <v>294</v>
      </c>
    </row>
    <row r="125" spans="1:8">
      <c r="A125" s="5" t="s">
        <v>446</v>
      </c>
      <c r="B125" s="5" t="s">
        <v>81</v>
      </c>
      <c r="C125" s="5" t="s">
        <v>82</v>
      </c>
      <c r="D125" s="5" t="s">
        <v>535</v>
      </c>
      <c r="E125" s="5"/>
      <c r="F125" s="5" t="s">
        <v>84</v>
      </c>
      <c r="G125" s="5" t="s">
        <v>85</v>
      </c>
      <c r="H125" s="5" t="s">
        <v>86</v>
      </c>
    </row>
    <row r="126" spans="1:8">
      <c r="A126" s="5" t="s">
        <v>447</v>
      </c>
      <c r="B126" s="5" t="s">
        <v>81</v>
      </c>
      <c r="C126" s="5" t="s">
        <v>88</v>
      </c>
      <c r="D126" s="5" t="s">
        <v>259</v>
      </c>
      <c r="E126" s="5" t="s">
        <v>537</v>
      </c>
      <c r="F126" s="5" t="s">
        <v>84</v>
      </c>
      <c r="G126" s="5" t="s">
        <v>330</v>
      </c>
      <c r="H126" s="5" t="s">
        <v>331</v>
      </c>
    </row>
    <row r="127" spans="1:8">
      <c r="A127" s="5" t="s">
        <v>449</v>
      </c>
      <c r="B127" s="5" t="s">
        <v>81</v>
      </c>
      <c r="C127" s="5" t="s">
        <v>88</v>
      </c>
      <c r="D127" s="5" t="s">
        <v>112</v>
      </c>
      <c r="E127" s="5" t="s">
        <v>113</v>
      </c>
      <c r="F127" s="5" t="s">
        <v>84</v>
      </c>
      <c r="G127" s="5" t="s">
        <v>114</v>
      </c>
      <c r="H127" s="5" t="s">
        <v>115</v>
      </c>
    </row>
    <row r="128" spans="1:8">
      <c r="A128" s="5" t="s">
        <v>452</v>
      </c>
      <c r="B128" s="5" t="s">
        <v>81</v>
      </c>
      <c r="C128" s="5" t="s">
        <v>310</v>
      </c>
      <c r="D128" s="5" t="s">
        <v>540</v>
      </c>
      <c r="E128" s="5"/>
      <c r="F128" s="5" t="s">
        <v>84</v>
      </c>
      <c r="G128" s="5" t="s">
        <v>526</v>
      </c>
      <c r="H128" s="5" t="s">
        <v>527</v>
      </c>
    </row>
    <row r="129" spans="1:8">
      <c r="A129" s="5" t="s">
        <v>456</v>
      </c>
      <c r="B129" s="5" t="s">
        <v>81</v>
      </c>
      <c r="C129" s="5" t="s">
        <v>88</v>
      </c>
      <c r="D129" s="5" t="s">
        <v>247</v>
      </c>
      <c r="E129" s="5" t="s">
        <v>253</v>
      </c>
      <c r="F129" s="5" t="s">
        <v>84</v>
      </c>
      <c r="G129" s="5" t="s">
        <v>254</v>
      </c>
      <c r="H129" s="5" t="s">
        <v>255</v>
      </c>
    </row>
    <row r="130" spans="1:8">
      <c r="A130" s="5" t="s">
        <v>457</v>
      </c>
      <c r="B130" s="5" t="s">
        <v>81</v>
      </c>
      <c r="C130" s="5" t="s">
        <v>123</v>
      </c>
      <c r="D130" s="5" t="s">
        <v>543</v>
      </c>
      <c r="E130" s="5"/>
      <c r="F130" s="5" t="s">
        <v>84</v>
      </c>
      <c r="G130" s="5" t="s">
        <v>459</v>
      </c>
      <c r="H130" s="5" t="s">
        <v>460</v>
      </c>
    </row>
    <row r="131" spans="1:8">
      <c r="A131" s="5" t="s">
        <v>461</v>
      </c>
      <c r="B131" s="5" t="s">
        <v>81</v>
      </c>
      <c r="C131" s="5" t="s">
        <v>393</v>
      </c>
      <c r="D131" s="5" t="s">
        <v>545</v>
      </c>
      <c r="E131" s="5"/>
      <c r="F131" s="5" t="s">
        <v>84</v>
      </c>
      <c r="G131" s="5" t="s">
        <v>465</v>
      </c>
      <c r="H131" s="5" t="s">
        <v>466</v>
      </c>
    </row>
    <row r="132" spans="1:8">
      <c r="A132" s="5" t="s">
        <v>463</v>
      </c>
      <c r="B132" s="5" t="s">
        <v>81</v>
      </c>
      <c r="C132" s="5" t="s">
        <v>547</v>
      </c>
      <c r="D132" s="5" t="s">
        <v>548</v>
      </c>
      <c r="E132" s="5"/>
      <c r="F132" s="5" t="s">
        <v>84</v>
      </c>
      <c r="G132" s="5" t="s">
        <v>549</v>
      </c>
      <c r="H132" s="5" t="s">
        <v>550</v>
      </c>
    </row>
    <row r="133" spans="1:8">
      <c r="A133" s="5" t="s">
        <v>467</v>
      </c>
      <c r="B133" s="5" t="s">
        <v>81</v>
      </c>
      <c r="C133" s="5" t="s">
        <v>82</v>
      </c>
      <c r="D133" s="5" t="s">
        <v>552</v>
      </c>
      <c r="E133" s="5"/>
      <c r="F133" s="5" t="s">
        <v>84</v>
      </c>
      <c r="G133" s="5" t="s">
        <v>85</v>
      </c>
      <c r="H133" s="5" t="s">
        <v>86</v>
      </c>
    </row>
    <row r="134" spans="1:8">
      <c r="A134" s="5" t="s">
        <v>472</v>
      </c>
      <c r="B134" s="5" t="s">
        <v>81</v>
      </c>
      <c r="C134" s="5" t="s">
        <v>554</v>
      </c>
      <c r="D134" s="5" t="s">
        <v>555</v>
      </c>
      <c r="E134" s="5"/>
      <c r="F134" s="5" t="s">
        <v>84</v>
      </c>
      <c r="G134" s="5" t="s">
        <v>556</v>
      </c>
      <c r="H134" s="5" t="s">
        <v>557</v>
      </c>
    </row>
    <row r="135" spans="1:8">
      <c r="A135" s="5" t="s">
        <v>473</v>
      </c>
      <c r="B135" s="5" t="s">
        <v>81</v>
      </c>
      <c r="C135" s="5" t="s">
        <v>559</v>
      </c>
      <c r="D135" s="5" t="s">
        <v>469</v>
      </c>
      <c r="E135" s="5"/>
      <c r="F135" s="5" t="s">
        <v>84</v>
      </c>
      <c r="G135" s="5" t="s">
        <v>470</v>
      </c>
      <c r="H135" s="5" t="s">
        <v>471</v>
      </c>
    </row>
    <row r="136" spans="1:8">
      <c r="A136" s="5" t="s">
        <v>477</v>
      </c>
      <c r="B136" s="5" t="s">
        <v>81</v>
      </c>
      <c r="C136" s="5" t="s">
        <v>561</v>
      </c>
      <c r="D136" s="5" t="s">
        <v>562</v>
      </c>
      <c r="E136" s="5"/>
      <c r="F136" s="5" t="s">
        <v>84</v>
      </c>
      <c r="G136" s="5" t="s">
        <v>563</v>
      </c>
      <c r="H136" s="5" t="s">
        <v>564</v>
      </c>
    </row>
    <row r="137" spans="1:8">
      <c r="A137" s="5" t="s">
        <v>479</v>
      </c>
      <c r="B137" s="5" t="s">
        <v>81</v>
      </c>
      <c r="C137" s="5" t="s">
        <v>566</v>
      </c>
      <c r="D137" s="5" t="s">
        <v>567</v>
      </c>
      <c r="E137" s="5"/>
      <c r="F137" s="5" t="s">
        <v>84</v>
      </c>
      <c r="G137" s="5" t="s">
        <v>568</v>
      </c>
      <c r="H137" s="5" t="s">
        <v>569</v>
      </c>
    </row>
    <row r="138" spans="1:8">
      <c r="A138" s="5" t="s">
        <v>481</v>
      </c>
      <c r="B138" s="5" t="s">
        <v>81</v>
      </c>
      <c r="C138" s="5" t="s">
        <v>88</v>
      </c>
      <c r="D138" s="5" t="s">
        <v>89</v>
      </c>
      <c r="E138" s="5" t="s">
        <v>368</v>
      </c>
      <c r="F138" s="5"/>
      <c r="G138" s="5" t="s">
        <v>369</v>
      </c>
      <c r="H138" s="5" t="s">
        <v>370</v>
      </c>
    </row>
    <row r="139" spans="1:8">
      <c r="A139" s="5" t="s">
        <v>485</v>
      </c>
      <c r="B139" s="5" t="s">
        <v>81</v>
      </c>
      <c r="C139" s="5" t="s">
        <v>246</v>
      </c>
      <c r="D139" s="5" t="s">
        <v>247</v>
      </c>
      <c r="E139" s="5" t="s">
        <v>253</v>
      </c>
      <c r="F139" s="5" t="s">
        <v>84</v>
      </c>
      <c r="G139" s="5" t="s">
        <v>254</v>
      </c>
      <c r="H139" s="5" t="s">
        <v>255</v>
      </c>
    </row>
    <row r="140" spans="1:8">
      <c r="A140" s="5" t="s">
        <v>487</v>
      </c>
      <c r="B140" s="5" t="s">
        <v>81</v>
      </c>
      <c r="C140" s="5" t="s">
        <v>573</v>
      </c>
      <c r="D140" s="5" t="s">
        <v>574</v>
      </c>
      <c r="E140" s="5"/>
      <c r="F140" s="5" t="s">
        <v>84</v>
      </c>
      <c r="G140" s="5" t="s">
        <v>563</v>
      </c>
      <c r="H140" s="5" t="s">
        <v>564</v>
      </c>
    </row>
    <row r="141" spans="1:8">
      <c r="A141" s="5" t="s">
        <v>489</v>
      </c>
      <c r="B141" s="5" t="s">
        <v>81</v>
      </c>
      <c r="C141" s="5" t="s">
        <v>420</v>
      </c>
      <c r="D141" s="5" t="s">
        <v>525</v>
      </c>
      <c r="E141" s="5"/>
      <c r="F141" s="5" t="s">
        <v>84</v>
      </c>
      <c r="G141" s="5" t="s">
        <v>526</v>
      </c>
      <c r="H141" s="5" t="s">
        <v>527</v>
      </c>
    </row>
    <row r="142" spans="1:8">
      <c r="A142" s="5" t="s">
        <v>491</v>
      </c>
      <c r="B142" s="5" t="s">
        <v>81</v>
      </c>
      <c r="C142" s="5" t="s">
        <v>117</v>
      </c>
      <c r="D142" s="5" t="s">
        <v>89</v>
      </c>
      <c r="E142" s="5" t="s">
        <v>492</v>
      </c>
      <c r="F142" s="5" t="s">
        <v>84</v>
      </c>
      <c r="G142" s="5" t="s">
        <v>91</v>
      </c>
      <c r="H142" s="5" t="s">
        <v>92</v>
      </c>
    </row>
    <row r="143" spans="1:8">
      <c r="A143" s="5" t="s">
        <v>493</v>
      </c>
      <c r="B143" s="5" t="s">
        <v>81</v>
      </c>
      <c r="C143" s="5" t="s">
        <v>372</v>
      </c>
      <c r="D143" s="5" t="s">
        <v>462</v>
      </c>
      <c r="E143" s="5"/>
      <c r="F143" s="5"/>
      <c r="G143" s="5" t="s">
        <v>581</v>
      </c>
      <c r="H143" s="5" t="s">
        <v>582</v>
      </c>
    </row>
    <row r="144" spans="1:8">
      <c r="A144" s="5" t="s">
        <v>495</v>
      </c>
      <c r="B144" s="5" t="s">
        <v>81</v>
      </c>
      <c r="C144" s="5" t="s">
        <v>123</v>
      </c>
      <c r="D144" s="5" t="s">
        <v>584</v>
      </c>
      <c r="E144" s="5"/>
      <c r="F144" s="5" t="s">
        <v>84</v>
      </c>
      <c r="G144" s="5" t="s">
        <v>459</v>
      </c>
      <c r="H144" s="5" t="s">
        <v>460</v>
      </c>
    </row>
    <row r="145" spans="1:8">
      <c r="A145" s="5" t="s">
        <v>499</v>
      </c>
      <c r="B145" s="5" t="s">
        <v>81</v>
      </c>
      <c r="C145" s="5" t="s">
        <v>586</v>
      </c>
      <c r="D145" s="5" t="s">
        <v>428</v>
      </c>
      <c r="E145" s="5" t="s">
        <v>107</v>
      </c>
      <c r="F145" s="5" t="s">
        <v>32</v>
      </c>
      <c r="G145" s="5" t="s">
        <v>108</v>
      </c>
      <c r="H145" s="5" t="s">
        <v>109</v>
      </c>
    </row>
    <row r="146" spans="1:8">
      <c r="A146" s="5" t="s">
        <v>501</v>
      </c>
      <c r="B146" s="5" t="s">
        <v>81</v>
      </c>
      <c r="C146" s="5" t="s">
        <v>111</v>
      </c>
      <c r="D146" s="5" t="s">
        <v>590</v>
      </c>
      <c r="E146" s="5"/>
      <c r="F146" s="5" t="s">
        <v>84</v>
      </c>
      <c r="G146" s="5" t="s">
        <v>591</v>
      </c>
      <c r="H146" s="5" t="s">
        <v>592</v>
      </c>
    </row>
    <row r="147" spans="1:8">
      <c r="A147" s="5" t="s">
        <v>503</v>
      </c>
      <c r="B147" s="5" t="s">
        <v>81</v>
      </c>
      <c r="C147" s="5" t="s">
        <v>117</v>
      </c>
      <c r="D147" s="5" t="s">
        <v>89</v>
      </c>
      <c r="E147" s="5" t="s">
        <v>191</v>
      </c>
      <c r="F147" s="5" t="s">
        <v>84</v>
      </c>
      <c r="G147" s="5" t="s">
        <v>91</v>
      </c>
      <c r="H147" s="5" t="s">
        <v>92</v>
      </c>
    </row>
    <row r="148" spans="1:8">
      <c r="A148" s="5" t="s">
        <v>507</v>
      </c>
      <c r="B148" s="5" t="s">
        <v>81</v>
      </c>
      <c r="C148" s="5" t="s">
        <v>310</v>
      </c>
      <c r="D148" s="5" t="s">
        <v>596</v>
      </c>
      <c r="E148" s="5"/>
      <c r="F148" s="5" t="s">
        <v>84</v>
      </c>
      <c r="G148" s="5" t="s">
        <v>526</v>
      </c>
      <c r="H148" s="5" t="s">
        <v>527</v>
      </c>
    </row>
    <row r="149" spans="1:8">
      <c r="A149" s="5" t="s">
        <v>508</v>
      </c>
      <c r="B149" s="5" t="s">
        <v>81</v>
      </c>
      <c r="C149" s="5" t="s">
        <v>598</v>
      </c>
      <c r="D149" s="5" t="s">
        <v>599</v>
      </c>
      <c r="E149" s="5" t="s">
        <v>600</v>
      </c>
      <c r="F149" s="5" t="s">
        <v>32</v>
      </c>
      <c r="G149" s="5" t="s">
        <v>601</v>
      </c>
      <c r="H149" s="5" t="s">
        <v>602</v>
      </c>
    </row>
    <row r="150" spans="1:8">
      <c r="A150" s="5" t="s">
        <v>511</v>
      </c>
      <c r="B150" s="5" t="s">
        <v>81</v>
      </c>
      <c r="C150" s="5" t="s">
        <v>604</v>
      </c>
      <c r="D150" s="5" t="s">
        <v>605</v>
      </c>
      <c r="E150" s="5"/>
      <c r="F150" s="5"/>
      <c r="G150" s="5" t="s">
        <v>606</v>
      </c>
      <c r="H150" s="5" t="s">
        <v>607</v>
      </c>
    </row>
    <row r="151" spans="1:8">
      <c r="A151" s="5" t="s">
        <v>513</v>
      </c>
      <c r="B151" s="5" t="s">
        <v>81</v>
      </c>
      <c r="C151" s="5" t="s">
        <v>88</v>
      </c>
      <c r="D151" s="5" t="s">
        <v>89</v>
      </c>
      <c r="E151" s="5" t="s">
        <v>609</v>
      </c>
      <c r="F151" s="5" t="s">
        <v>84</v>
      </c>
      <c r="G151" s="5" t="s">
        <v>91</v>
      </c>
      <c r="H151" s="5" t="s">
        <v>92</v>
      </c>
    </row>
    <row r="152" spans="1:8">
      <c r="A152" s="5" t="s">
        <v>519</v>
      </c>
      <c r="B152" s="5" t="s">
        <v>81</v>
      </c>
      <c r="C152" s="5" t="s">
        <v>611</v>
      </c>
      <c r="D152" s="5" t="s">
        <v>612</v>
      </c>
      <c r="E152" s="5"/>
      <c r="F152" s="5" t="s">
        <v>84</v>
      </c>
      <c r="G152" s="5" t="s">
        <v>613</v>
      </c>
      <c r="H152" s="5" t="s">
        <v>614</v>
      </c>
    </row>
    <row r="153" spans="1:8">
      <c r="A153" s="5" t="s">
        <v>524</v>
      </c>
      <c r="B153" s="5" t="s">
        <v>81</v>
      </c>
      <c r="C153" s="5" t="s">
        <v>616</v>
      </c>
      <c r="D153" s="5" t="s">
        <v>154</v>
      </c>
      <c r="E153" s="5"/>
      <c r="F153" s="5"/>
      <c r="G153" s="5" t="s">
        <v>155</v>
      </c>
      <c r="H153" s="5" t="s">
        <v>156</v>
      </c>
    </row>
    <row r="154" spans="1:8">
      <c r="A154" s="5" t="s">
        <v>528</v>
      </c>
      <c r="B154" s="5" t="s">
        <v>81</v>
      </c>
      <c r="C154" s="5" t="s">
        <v>310</v>
      </c>
      <c r="D154" s="5" t="s">
        <v>618</v>
      </c>
      <c r="E154" s="5"/>
      <c r="F154" s="5" t="s">
        <v>84</v>
      </c>
      <c r="G154" s="5" t="s">
        <v>454</v>
      </c>
      <c r="H154" s="5" t="s">
        <v>455</v>
      </c>
    </row>
    <row r="155" spans="1:8">
      <c r="A155" s="5" t="s">
        <v>530</v>
      </c>
      <c r="B155" s="5" t="s">
        <v>81</v>
      </c>
      <c r="C155" s="5" t="s">
        <v>420</v>
      </c>
      <c r="D155" s="5" t="s">
        <v>328</v>
      </c>
      <c r="E155" s="5" t="s">
        <v>620</v>
      </c>
      <c r="F155" s="5" t="s">
        <v>84</v>
      </c>
      <c r="G155" s="5" t="s">
        <v>621</v>
      </c>
      <c r="H155" s="5" t="s">
        <v>622</v>
      </c>
    </row>
    <row r="156" spans="1:8">
      <c r="A156" s="5" t="s">
        <v>534</v>
      </c>
      <c r="B156" s="5" t="s">
        <v>81</v>
      </c>
      <c r="C156" s="5" t="s">
        <v>624</v>
      </c>
      <c r="D156" s="5" t="s">
        <v>262</v>
      </c>
      <c r="E156" s="5" t="s">
        <v>625</v>
      </c>
      <c r="F156" s="5" t="s">
        <v>84</v>
      </c>
      <c r="G156" s="5" t="s">
        <v>626</v>
      </c>
      <c r="H156" s="5" t="s">
        <v>627</v>
      </c>
    </row>
    <row r="157" spans="1:8">
      <c r="A157" s="5" t="s">
        <v>536</v>
      </c>
      <c r="B157" s="5" t="s">
        <v>81</v>
      </c>
      <c r="C157" s="5" t="s">
        <v>629</v>
      </c>
      <c r="D157" s="5" t="s">
        <v>630</v>
      </c>
      <c r="E157" s="5"/>
      <c r="F157" s="5" t="s">
        <v>84</v>
      </c>
      <c r="G157" s="5" t="s">
        <v>374</v>
      </c>
      <c r="H157" s="5" t="s">
        <v>375</v>
      </c>
    </row>
    <row r="158" spans="1:8">
      <c r="A158" s="5" t="s">
        <v>538</v>
      </c>
      <c r="B158" s="5" t="s">
        <v>81</v>
      </c>
      <c r="C158" s="5" t="s">
        <v>420</v>
      </c>
      <c r="D158" s="5" t="s">
        <v>632</v>
      </c>
      <c r="E158" s="5"/>
      <c r="F158" s="5" t="s">
        <v>84</v>
      </c>
      <c r="G158" s="5" t="s">
        <v>355</v>
      </c>
      <c r="H158" s="5" t="s">
        <v>356</v>
      </c>
    </row>
    <row r="159" spans="1:8">
      <c r="A159" s="5" t="s">
        <v>539</v>
      </c>
      <c r="B159" s="5" t="s">
        <v>81</v>
      </c>
      <c r="C159" s="5" t="s">
        <v>634</v>
      </c>
      <c r="D159" s="5" t="s">
        <v>343</v>
      </c>
      <c r="E159" s="5"/>
      <c r="F159" s="5" t="s">
        <v>84</v>
      </c>
      <c r="G159" s="5" t="s">
        <v>344</v>
      </c>
      <c r="H159" s="5" t="s">
        <v>345</v>
      </c>
    </row>
    <row r="160" spans="1:8">
      <c r="A160" s="5" t="s">
        <v>541</v>
      </c>
      <c r="B160" s="5" t="s">
        <v>81</v>
      </c>
      <c r="C160" s="5" t="s">
        <v>133</v>
      </c>
      <c r="D160" s="5" t="s">
        <v>134</v>
      </c>
      <c r="E160" s="5" t="s">
        <v>636</v>
      </c>
      <c r="F160" s="5" t="s">
        <v>84</v>
      </c>
      <c r="G160" s="5" t="s">
        <v>136</v>
      </c>
      <c r="H160" s="5" t="s">
        <v>137</v>
      </c>
    </row>
    <row r="161" spans="1:8">
      <c r="A161" s="5" t="s">
        <v>542</v>
      </c>
      <c r="B161" s="5" t="s">
        <v>81</v>
      </c>
      <c r="C161" s="5" t="s">
        <v>638</v>
      </c>
      <c r="D161" s="5" t="s">
        <v>639</v>
      </c>
      <c r="E161" s="5"/>
      <c r="F161" s="5" t="s">
        <v>84</v>
      </c>
      <c r="G161" s="5" t="s">
        <v>640</v>
      </c>
      <c r="H161" s="5" t="s">
        <v>641</v>
      </c>
    </row>
    <row r="162" spans="1:8">
      <c r="A162" s="5" t="s">
        <v>544</v>
      </c>
      <c r="B162" s="5" t="s">
        <v>81</v>
      </c>
      <c r="C162" s="5" t="s">
        <v>82</v>
      </c>
      <c r="D162" s="5" t="s">
        <v>643</v>
      </c>
      <c r="E162" s="5"/>
      <c r="F162" s="5" t="s">
        <v>84</v>
      </c>
      <c r="G162" s="5" t="s">
        <v>85</v>
      </c>
      <c r="H162" s="5" t="s">
        <v>86</v>
      </c>
    </row>
    <row r="163" spans="1:8">
      <c r="A163" s="5" t="s">
        <v>546</v>
      </c>
      <c r="B163" s="5" t="s">
        <v>81</v>
      </c>
      <c r="C163" s="5" t="s">
        <v>175</v>
      </c>
      <c r="D163" s="5" t="s">
        <v>89</v>
      </c>
      <c r="E163" s="5" t="s">
        <v>158</v>
      </c>
      <c r="F163" s="5" t="s">
        <v>84</v>
      </c>
      <c r="G163" s="5" t="s">
        <v>91</v>
      </c>
      <c r="H163" s="5" t="s">
        <v>92</v>
      </c>
    </row>
    <row r="164" spans="1:8">
      <c r="A164" s="5" t="s">
        <v>551</v>
      </c>
      <c r="B164" s="5" t="s">
        <v>81</v>
      </c>
      <c r="C164" s="5" t="s">
        <v>624</v>
      </c>
      <c r="D164" s="5" t="s">
        <v>129</v>
      </c>
      <c r="E164" s="5"/>
      <c r="F164" s="5" t="s">
        <v>84</v>
      </c>
      <c r="G164" s="5" t="s">
        <v>130</v>
      </c>
      <c r="H164" s="5" t="s">
        <v>131</v>
      </c>
    </row>
    <row r="165" spans="1:8">
      <c r="A165" s="5" t="s">
        <v>553</v>
      </c>
      <c r="B165" s="5" t="s">
        <v>81</v>
      </c>
      <c r="C165" s="5" t="s">
        <v>647</v>
      </c>
      <c r="D165" s="5" t="s">
        <v>154</v>
      </c>
      <c r="E165" s="5"/>
      <c r="F165" s="5"/>
      <c r="G165" s="5" t="s">
        <v>155</v>
      </c>
      <c r="H165" s="5" t="s">
        <v>156</v>
      </c>
    </row>
    <row r="166" spans="1:8">
      <c r="A166" s="5" t="s">
        <v>558</v>
      </c>
      <c r="B166" s="5" t="s">
        <v>81</v>
      </c>
      <c r="C166" s="5" t="s">
        <v>649</v>
      </c>
      <c r="D166" s="5" t="s">
        <v>180</v>
      </c>
      <c r="E166" s="5"/>
      <c r="F166" s="5"/>
      <c r="G166" s="5" t="s">
        <v>155</v>
      </c>
      <c r="H166" s="5" t="s">
        <v>156</v>
      </c>
    </row>
    <row r="167" spans="1:8">
      <c r="A167" s="5" t="s">
        <v>560</v>
      </c>
      <c r="B167" s="5" t="s">
        <v>81</v>
      </c>
      <c r="C167" s="5" t="s">
        <v>420</v>
      </c>
      <c r="D167" s="5" t="s">
        <v>653</v>
      </c>
      <c r="E167" s="5"/>
      <c r="F167" s="5" t="s">
        <v>84</v>
      </c>
      <c r="G167" s="5" t="s">
        <v>654</v>
      </c>
      <c r="H167" s="5" t="s">
        <v>655</v>
      </c>
    </row>
    <row r="168" spans="1:8">
      <c r="A168" s="5" t="s">
        <v>565</v>
      </c>
      <c r="B168" s="5" t="s">
        <v>81</v>
      </c>
      <c r="C168" s="5" t="s">
        <v>111</v>
      </c>
      <c r="D168" s="5" t="s">
        <v>574</v>
      </c>
      <c r="E168" s="5"/>
      <c r="F168" s="5" t="s">
        <v>84</v>
      </c>
      <c r="G168" s="5" t="s">
        <v>563</v>
      </c>
      <c r="H168" s="5" t="s">
        <v>564</v>
      </c>
    </row>
    <row r="169" spans="1:8">
      <c r="A169" s="5" t="s">
        <v>570</v>
      </c>
      <c r="B169" s="5" t="s">
        <v>81</v>
      </c>
      <c r="C169" s="5" t="s">
        <v>366</v>
      </c>
      <c r="D169" s="5" t="s">
        <v>658</v>
      </c>
      <c r="E169" s="5"/>
      <c r="F169" s="5" t="s">
        <v>84</v>
      </c>
      <c r="G169" s="5" t="s">
        <v>659</v>
      </c>
      <c r="H169" s="5" t="s">
        <v>660</v>
      </c>
    </row>
    <row r="170" spans="1:8">
      <c r="A170" s="5" t="s">
        <v>571</v>
      </c>
      <c r="B170" s="5" t="s">
        <v>81</v>
      </c>
      <c r="C170" s="5" t="s">
        <v>624</v>
      </c>
      <c r="D170" s="5" t="s">
        <v>262</v>
      </c>
      <c r="E170" s="5" t="s">
        <v>322</v>
      </c>
      <c r="F170" s="5" t="s">
        <v>84</v>
      </c>
      <c r="G170" s="5" t="s">
        <v>323</v>
      </c>
      <c r="H170" s="5" t="s">
        <v>324</v>
      </c>
    </row>
    <row r="171" spans="1:8">
      <c r="A171" s="5" t="s">
        <v>572</v>
      </c>
      <c r="B171" s="5" t="s">
        <v>81</v>
      </c>
      <c r="C171" s="5" t="s">
        <v>665</v>
      </c>
      <c r="D171" s="5" t="s">
        <v>666</v>
      </c>
      <c r="E171" s="5" t="s">
        <v>329</v>
      </c>
      <c r="F171" s="5" t="s">
        <v>84</v>
      </c>
      <c r="G171" s="5" t="s">
        <v>330</v>
      </c>
      <c r="H171" s="5" t="s">
        <v>331</v>
      </c>
    </row>
    <row r="172" spans="1:8">
      <c r="A172" s="5" t="s">
        <v>575</v>
      </c>
      <c r="B172" s="5" t="s">
        <v>81</v>
      </c>
      <c r="C172" s="5" t="s">
        <v>88</v>
      </c>
      <c r="D172" s="5" t="s">
        <v>668</v>
      </c>
      <c r="E172" s="5"/>
      <c r="F172" s="5" t="s">
        <v>84</v>
      </c>
      <c r="G172" s="5" t="s">
        <v>407</v>
      </c>
      <c r="H172" s="5" t="s">
        <v>408</v>
      </c>
    </row>
    <row r="173" spans="1:8">
      <c r="A173" s="5" t="s">
        <v>576</v>
      </c>
      <c r="B173" s="5" t="s">
        <v>81</v>
      </c>
      <c r="C173" s="5" t="s">
        <v>670</v>
      </c>
      <c r="D173" s="5" t="s">
        <v>671</v>
      </c>
      <c r="E173" s="5"/>
      <c r="F173" s="5"/>
      <c r="G173" s="5" t="s">
        <v>672</v>
      </c>
      <c r="H173" s="5" t="s">
        <v>673</v>
      </c>
    </row>
    <row r="174" spans="1:8">
      <c r="A174" s="5" t="s">
        <v>579</v>
      </c>
      <c r="B174" s="5" t="s">
        <v>81</v>
      </c>
      <c r="C174" s="5" t="s">
        <v>111</v>
      </c>
      <c r="D174" s="5" t="s">
        <v>668</v>
      </c>
      <c r="E174" s="5"/>
      <c r="F174" s="5" t="s">
        <v>84</v>
      </c>
      <c r="G174" s="5" t="s">
        <v>407</v>
      </c>
      <c r="H174" s="5" t="s">
        <v>408</v>
      </c>
    </row>
    <row r="175" spans="1:8">
      <c r="A175" s="5" t="s">
        <v>580</v>
      </c>
      <c r="B175" s="5" t="s">
        <v>81</v>
      </c>
      <c r="C175" s="5" t="s">
        <v>676</v>
      </c>
      <c r="D175" s="5" t="s">
        <v>639</v>
      </c>
      <c r="E175" s="5"/>
      <c r="F175" s="5" t="s">
        <v>84</v>
      </c>
      <c r="G175" s="5" t="s">
        <v>640</v>
      </c>
      <c r="H175" s="5" t="s">
        <v>641</v>
      </c>
    </row>
    <row r="176" spans="1:8">
      <c r="A176" s="5" t="s">
        <v>583</v>
      </c>
      <c r="B176" s="5" t="s">
        <v>81</v>
      </c>
      <c r="C176" s="5" t="s">
        <v>82</v>
      </c>
      <c r="D176" s="5" t="s">
        <v>679</v>
      </c>
      <c r="E176" s="5"/>
      <c r="F176" s="5" t="s">
        <v>84</v>
      </c>
      <c r="G176" s="5" t="s">
        <v>85</v>
      </c>
      <c r="H176" s="5" t="s">
        <v>86</v>
      </c>
    </row>
    <row r="177" spans="1:8">
      <c r="A177" s="5" t="s">
        <v>585</v>
      </c>
      <c r="B177" s="5" t="s">
        <v>81</v>
      </c>
      <c r="C177" s="5" t="s">
        <v>651</v>
      </c>
      <c r="D177" s="5" t="s">
        <v>373</v>
      </c>
      <c r="E177" s="5"/>
      <c r="F177" s="5" t="s">
        <v>84</v>
      </c>
      <c r="G177" s="5" t="s">
        <v>374</v>
      </c>
      <c r="H177" s="5" t="s">
        <v>375</v>
      </c>
    </row>
    <row r="178" spans="1:8">
      <c r="A178" s="5" t="s">
        <v>587</v>
      </c>
      <c r="B178" s="5" t="s">
        <v>81</v>
      </c>
      <c r="C178" s="5" t="s">
        <v>624</v>
      </c>
      <c r="D178" s="5" t="s">
        <v>262</v>
      </c>
      <c r="E178" s="5"/>
      <c r="F178" s="5" t="s">
        <v>84</v>
      </c>
      <c r="G178" s="5" t="s">
        <v>263</v>
      </c>
      <c r="H178" s="5" t="s">
        <v>264</v>
      </c>
    </row>
    <row r="179" spans="1:8">
      <c r="A179" s="5" t="s">
        <v>589</v>
      </c>
      <c r="B179" s="5" t="s">
        <v>81</v>
      </c>
      <c r="C179" s="5" t="s">
        <v>82</v>
      </c>
      <c r="D179" s="5" t="s">
        <v>683</v>
      </c>
      <c r="E179" s="5"/>
      <c r="F179" s="5" t="s">
        <v>84</v>
      </c>
      <c r="G179" s="5" t="s">
        <v>85</v>
      </c>
      <c r="H179" s="5" t="s">
        <v>86</v>
      </c>
    </row>
    <row r="180" spans="1:8">
      <c r="A180" s="5" t="s">
        <v>593</v>
      </c>
      <c r="B180" s="5" t="s">
        <v>81</v>
      </c>
      <c r="C180" s="5" t="s">
        <v>688</v>
      </c>
      <c r="D180" s="5" t="s">
        <v>689</v>
      </c>
      <c r="E180" s="5"/>
      <c r="F180" s="5" t="s">
        <v>84</v>
      </c>
      <c r="G180" s="5" t="s">
        <v>690</v>
      </c>
      <c r="H180" s="5" t="s">
        <v>691</v>
      </c>
    </row>
    <row r="181" spans="1:8">
      <c r="A181" s="5" t="s">
        <v>594</v>
      </c>
      <c r="B181" s="5" t="s">
        <v>81</v>
      </c>
      <c r="C181" s="5" t="s">
        <v>693</v>
      </c>
      <c r="D181" s="5" t="s">
        <v>694</v>
      </c>
      <c r="E181" s="5"/>
      <c r="F181" s="5"/>
      <c r="G181" s="5" t="s">
        <v>577</v>
      </c>
      <c r="H181" s="5" t="s">
        <v>578</v>
      </c>
    </row>
    <row r="182" spans="1:8">
      <c r="A182" s="5" t="s">
        <v>595</v>
      </c>
      <c r="B182" s="5" t="s">
        <v>81</v>
      </c>
      <c r="C182" s="5" t="s">
        <v>696</v>
      </c>
      <c r="D182" s="5" t="s">
        <v>697</v>
      </c>
      <c r="E182" s="5"/>
      <c r="F182" s="5" t="s">
        <v>84</v>
      </c>
      <c r="G182" s="5" t="s">
        <v>698</v>
      </c>
      <c r="H182" s="5" t="s">
        <v>699</v>
      </c>
    </row>
    <row r="183" spans="1:8">
      <c r="A183" s="5" t="s">
        <v>597</v>
      </c>
      <c r="B183" s="5" t="s">
        <v>81</v>
      </c>
      <c r="C183" s="5" t="s">
        <v>270</v>
      </c>
      <c r="D183" s="5" t="s">
        <v>271</v>
      </c>
      <c r="E183" s="5" t="s">
        <v>701</v>
      </c>
      <c r="F183" s="5" t="s">
        <v>84</v>
      </c>
      <c r="G183" s="5" t="s">
        <v>273</v>
      </c>
      <c r="H183" s="5" t="s">
        <v>274</v>
      </c>
    </row>
    <row r="184" spans="1:8">
      <c r="A184" s="5" t="s">
        <v>603</v>
      </c>
      <c r="B184" s="5" t="s">
        <v>81</v>
      </c>
      <c r="C184" s="5" t="s">
        <v>128</v>
      </c>
      <c r="D184" s="5" t="s">
        <v>206</v>
      </c>
      <c r="E184" s="5" t="s">
        <v>703</v>
      </c>
      <c r="F184" s="5" t="s">
        <v>84</v>
      </c>
      <c r="G184" s="5" t="s">
        <v>626</v>
      </c>
      <c r="H184" s="5" t="s">
        <v>627</v>
      </c>
    </row>
    <row r="185" spans="1:8">
      <c r="A185" s="5" t="s">
        <v>608</v>
      </c>
      <c r="B185" s="5" t="s">
        <v>81</v>
      </c>
      <c r="C185" s="5" t="s">
        <v>88</v>
      </c>
      <c r="D185" s="5" t="s">
        <v>259</v>
      </c>
      <c r="E185" s="5" t="s">
        <v>705</v>
      </c>
      <c r="F185" s="5" t="s">
        <v>84</v>
      </c>
      <c r="G185" s="5" t="s">
        <v>254</v>
      </c>
      <c r="H185" s="5" t="s">
        <v>255</v>
      </c>
    </row>
    <row r="186" spans="1:8">
      <c r="A186" s="5" t="s">
        <v>610</v>
      </c>
      <c r="B186" s="5" t="s">
        <v>81</v>
      </c>
      <c r="C186" s="5" t="s">
        <v>175</v>
      </c>
      <c r="D186" s="5" t="s">
        <v>296</v>
      </c>
      <c r="E186" s="5"/>
      <c r="F186" s="5" t="s">
        <v>84</v>
      </c>
      <c r="G186" s="5" t="s">
        <v>297</v>
      </c>
      <c r="H186" s="5" t="s">
        <v>298</v>
      </c>
    </row>
    <row r="187" spans="1:8">
      <c r="A187" s="5" t="s">
        <v>615</v>
      </c>
      <c r="B187" s="5" t="s">
        <v>81</v>
      </c>
      <c r="C187" s="5" t="s">
        <v>468</v>
      </c>
      <c r="D187" s="5" t="s">
        <v>510</v>
      </c>
      <c r="E187" s="5"/>
      <c r="F187" s="5" t="s">
        <v>84</v>
      </c>
      <c r="G187" s="5" t="s">
        <v>162</v>
      </c>
      <c r="H187" s="5" t="s">
        <v>163</v>
      </c>
    </row>
    <row r="188" spans="1:8">
      <c r="A188" s="5" t="s">
        <v>617</v>
      </c>
      <c r="B188" s="5" t="s">
        <v>81</v>
      </c>
      <c r="C188" s="5" t="s">
        <v>616</v>
      </c>
      <c r="D188" s="5" t="s">
        <v>180</v>
      </c>
      <c r="E188" s="5"/>
      <c r="F188" s="5"/>
      <c r="G188" s="5" t="s">
        <v>155</v>
      </c>
      <c r="H188" s="5" t="s">
        <v>156</v>
      </c>
    </row>
    <row r="189" spans="1:8">
      <c r="A189" s="5" t="s">
        <v>619</v>
      </c>
      <c r="B189" s="5" t="s">
        <v>81</v>
      </c>
      <c r="C189" s="5" t="s">
        <v>246</v>
      </c>
      <c r="D189" s="5" t="s">
        <v>89</v>
      </c>
      <c r="E189" s="5" t="s">
        <v>144</v>
      </c>
      <c r="F189" s="5" t="s">
        <v>84</v>
      </c>
      <c r="G189" s="5" t="s">
        <v>145</v>
      </c>
      <c r="H189" s="5" t="s">
        <v>146</v>
      </c>
    </row>
    <row r="190" spans="1:8">
      <c r="A190" s="5" t="s">
        <v>623</v>
      </c>
      <c r="B190" s="5" t="s">
        <v>81</v>
      </c>
      <c r="C190" s="5" t="s">
        <v>393</v>
      </c>
      <c r="D190" s="5" t="s">
        <v>394</v>
      </c>
      <c r="E190" s="5" t="s">
        <v>711</v>
      </c>
      <c r="F190" s="5" t="s">
        <v>32</v>
      </c>
      <c r="G190" s="5" t="s">
        <v>712</v>
      </c>
      <c r="H190" s="5" t="s">
        <v>713</v>
      </c>
    </row>
    <row r="191" spans="1:8">
      <c r="A191" s="5" t="s">
        <v>628</v>
      </c>
      <c r="B191" s="5" t="s">
        <v>81</v>
      </c>
      <c r="C191" s="5" t="s">
        <v>715</v>
      </c>
      <c r="D191" s="5" t="s">
        <v>716</v>
      </c>
      <c r="E191" s="5"/>
      <c r="F191" s="5" t="s">
        <v>84</v>
      </c>
      <c r="G191" s="5" t="s">
        <v>307</v>
      </c>
      <c r="H191" s="5" t="s">
        <v>308</v>
      </c>
    </row>
    <row r="192" spans="1:8">
      <c r="A192" s="5" t="s">
        <v>631</v>
      </c>
      <c r="B192" s="5" t="s">
        <v>81</v>
      </c>
      <c r="C192" s="5" t="s">
        <v>624</v>
      </c>
      <c r="D192" s="5" t="s">
        <v>262</v>
      </c>
      <c r="E192" s="5" t="s">
        <v>292</v>
      </c>
      <c r="F192" s="5" t="s">
        <v>84</v>
      </c>
      <c r="G192" s="5" t="s">
        <v>293</v>
      </c>
      <c r="H192" s="5" t="s">
        <v>294</v>
      </c>
    </row>
    <row r="193" spans="1:8">
      <c r="A193" s="5" t="s">
        <v>633</v>
      </c>
      <c r="B193" s="5" t="s">
        <v>81</v>
      </c>
      <c r="C193" s="5" t="s">
        <v>624</v>
      </c>
      <c r="D193" s="5" t="s">
        <v>262</v>
      </c>
      <c r="E193" s="5" t="s">
        <v>339</v>
      </c>
      <c r="F193" s="5" t="s">
        <v>84</v>
      </c>
      <c r="G193" s="5" t="s">
        <v>323</v>
      </c>
      <c r="H193" s="5" t="s">
        <v>324</v>
      </c>
    </row>
    <row r="194" spans="1:8">
      <c r="A194" s="5" t="s">
        <v>635</v>
      </c>
      <c r="B194" s="5" t="s">
        <v>81</v>
      </c>
      <c r="C194" s="5" t="s">
        <v>82</v>
      </c>
      <c r="D194" s="5" t="s">
        <v>720</v>
      </c>
      <c r="E194" s="5"/>
      <c r="F194" s="5" t="s">
        <v>84</v>
      </c>
      <c r="G194" s="5" t="s">
        <v>85</v>
      </c>
      <c r="H194" s="5" t="s">
        <v>86</v>
      </c>
    </row>
    <row r="195" spans="1:8">
      <c r="A195" s="5" t="s">
        <v>637</v>
      </c>
      <c r="B195" s="5" t="s">
        <v>81</v>
      </c>
      <c r="C195" s="5" t="s">
        <v>722</v>
      </c>
      <c r="D195" s="5" t="s">
        <v>112</v>
      </c>
      <c r="E195" s="5" t="s">
        <v>113</v>
      </c>
      <c r="F195" s="5" t="s">
        <v>84</v>
      </c>
      <c r="G195" s="5" t="s">
        <v>114</v>
      </c>
      <c r="H195" s="5" t="s">
        <v>115</v>
      </c>
    </row>
    <row r="196" spans="1:8">
      <c r="A196" s="5" t="s">
        <v>642</v>
      </c>
      <c r="B196" s="5" t="s">
        <v>81</v>
      </c>
      <c r="C196" s="5" t="s">
        <v>148</v>
      </c>
      <c r="D196" s="5" t="s">
        <v>605</v>
      </c>
      <c r="E196" s="5"/>
      <c r="F196" s="5"/>
      <c r="G196" s="5" t="s">
        <v>606</v>
      </c>
      <c r="H196" s="5" t="s">
        <v>607</v>
      </c>
    </row>
    <row r="197" spans="1:8">
      <c r="A197" s="5" t="s">
        <v>644</v>
      </c>
      <c r="B197" s="5" t="s">
        <v>81</v>
      </c>
      <c r="C197" s="5" t="s">
        <v>82</v>
      </c>
      <c r="D197" s="5" t="s">
        <v>725</v>
      </c>
      <c r="E197" s="5"/>
      <c r="F197" s="5" t="s">
        <v>84</v>
      </c>
      <c r="G197" s="5" t="s">
        <v>85</v>
      </c>
      <c r="H197" s="5" t="s">
        <v>86</v>
      </c>
    </row>
    <row r="198" spans="1:8">
      <c r="A198" s="5" t="s">
        <v>645</v>
      </c>
      <c r="B198" s="5" t="s">
        <v>81</v>
      </c>
      <c r="C198" s="5" t="s">
        <v>117</v>
      </c>
      <c r="D198" s="5" t="s">
        <v>89</v>
      </c>
      <c r="E198" s="5" t="s">
        <v>727</v>
      </c>
      <c r="F198" s="5" t="s">
        <v>84</v>
      </c>
      <c r="G198" s="5" t="s">
        <v>728</v>
      </c>
      <c r="H198" s="5" t="s">
        <v>729</v>
      </c>
    </row>
    <row r="199" spans="1:8">
      <c r="A199" s="5" t="s">
        <v>646</v>
      </c>
      <c r="B199" s="5" t="s">
        <v>81</v>
      </c>
      <c r="C199" s="5" t="s">
        <v>649</v>
      </c>
      <c r="D199" s="5" t="s">
        <v>154</v>
      </c>
      <c r="E199" s="5"/>
      <c r="F199" s="5"/>
      <c r="G199" s="5" t="s">
        <v>155</v>
      </c>
      <c r="H199" s="5" t="s">
        <v>156</v>
      </c>
    </row>
    <row r="200" spans="1:8">
      <c r="A200" s="5" t="s">
        <v>648</v>
      </c>
      <c r="B200" s="5" t="s">
        <v>81</v>
      </c>
      <c r="C200" s="5" t="s">
        <v>310</v>
      </c>
      <c r="D200" s="5" t="s">
        <v>732</v>
      </c>
      <c r="E200" s="5"/>
      <c r="F200" s="5" t="s">
        <v>84</v>
      </c>
      <c r="G200" s="5" t="s">
        <v>312</v>
      </c>
      <c r="H200" s="5" t="s">
        <v>313</v>
      </c>
    </row>
    <row r="201" spans="1:8">
      <c r="A201" s="5" t="s">
        <v>650</v>
      </c>
      <c r="B201" s="5" t="s">
        <v>81</v>
      </c>
      <c r="C201" s="5" t="s">
        <v>100</v>
      </c>
      <c r="D201" s="5" t="s">
        <v>445</v>
      </c>
      <c r="E201" s="5"/>
      <c r="F201" s="5" t="s">
        <v>84</v>
      </c>
      <c r="G201" s="5" t="s">
        <v>167</v>
      </c>
      <c r="H201" s="5" t="s">
        <v>168</v>
      </c>
    </row>
    <row r="202" spans="1:8">
      <c r="A202" s="5" t="s">
        <v>652</v>
      </c>
      <c r="B202" s="5" t="s">
        <v>81</v>
      </c>
      <c r="C202" s="5" t="s">
        <v>111</v>
      </c>
      <c r="D202" s="5" t="s">
        <v>259</v>
      </c>
      <c r="E202" s="5" t="s">
        <v>705</v>
      </c>
      <c r="F202" s="5" t="s">
        <v>84</v>
      </c>
      <c r="G202" s="5" t="s">
        <v>254</v>
      </c>
      <c r="H202" s="5" t="s">
        <v>255</v>
      </c>
    </row>
    <row r="203" spans="1:8">
      <c r="A203" s="5" t="s">
        <v>656</v>
      </c>
      <c r="B203" s="5" t="s">
        <v>81</v>
      </c>
      <c r="C203" s="5" t="s">
        <v>82</v>
      </c>
      <c r="D203" s="5" t="s">
        <v>736</v>
      </c>
      <c r="E203" s="5"/>
      <c r="F203" s="5" t="s">
        <v>84</v>
      </c>
      <c r="G203" s="5" t="s">
        <v>85</v>
      </c>
      <c r="H203" s="5" t="s">
        <v>86</v>
      </c>
    </row>
    <row r="204" spans="1:8">
      <c r="A204" s="5" t="s">
        <v>657</v>
      </c>
      <c r="B204" s="5" t="s">
        <v>81</v>
      </c>
      <c r="C204" s="5" t="s">
        <v>738</v>
      </c>
      <c r="D204" s="5" t="s">
        <v>739</v>
      </c>
      <c r="E204" s="5"/>
      <c r="F204" s="5" t="s">
        <v>84</v>
      </c>
      <c r="G204" s="5" t="s">
        <v>740</v>
      </c>
      <c r="H204" s="5" t="s">
        <v>741</v>
      </c>
    </row>
    <row r="205" spans="1:8">
      <c r="A205" s="5" t="s">
        <v>661</v>
      </c>
      <c r="B205" s="5" t="s">
        <v>81</v>
      </c>
      <c r="C205" s="5" t="s">
        <v>276</v>
      </c>
      <c r="D205" s="5" t="s">
        <v>277</v>
      </c>
      <c r="E205" s="5" t="s">
        <v>743</v>
      </c>
      <c r="F205" s="5" t="s">
        <v>84</v>
      </c>
      <c r="G205" s="5" t="s">
        <v>363</v>
      </c>
      <c r="H205" s="5" t="s">
        <v>364</v>
      </c>
    </row>
    <row r="206" spans="1:8">
      <c r="A206" s="5" t="s">
        <v>663</v>
      </c>
      <c r="B206" s="5" t="s">
        <v>81</v>
      </c>
      <c r="C206" s="5" t="s">
        <v>745</v>
      </c>
      <c r="D206" s="5" t="s">
        <v>217</v>
      </c>
      <c r="E206" s="5" t="s">
        <v>218</v>
      </c>
      <c r="F206" s="5" t="s">
        <v>219</v>
      </c>
      <c r="G206" s="5" t="s">
        <v>220</v>
      </c>
      <c r="H206" s="5" t="s">
        <v>221</v>
      </c>
    </row>
    <row r="207" spans="1:8">
      <c r="A207" s="5" t="s">
        <v>664</v>
      </c>
      <c r="B207" s="5" t="s">
        <v>81</v>
      </c>
      <c r="C207" s="5" t="s">
        <v>747</v>
      </c>
      <c r="D207" s="5" t="s">
        <v>694</v>
      </c>
      <c r="E207" s="5"/>
      <c r="F207" s="5"/>
      <c r="G207" s="5" t="s">
        <v>577</v>
      </c>
      <c r="H207" s="5" t="s">
        <v>578</v>
      </c>
    </row>
    <row r="208" spans="1:8">
      <c r="A208" s="5" t="s">
        <v>667</v>
      </c>
      <c r="B208" s="5" t="s">
        <v>81</v>
      </c>
      <c r="C208" s="5" t="s">
        <v>749</v>
      </c>
      <c r="D208" s="5" t="s">
        <v>750</v>
      </c>
      <c r="E208" s="5" t="s">
        <v>751</v>
      </c>
      <c r="F208" s="5" t="s">
        <v>84</v>
      </c>
      <c r="G208" s="5" t="s">
        <v>690</v>
      </c>
      <c r="H208" s="5" t="s">
        <v>691</v>
      </c>
    </row>
    <row r="209" spans="1:8">
      <c r="A209" s="5" t="s">
        <v>669</v>
      </c>
      <c r="B209" s="5" t="s">
        <v>81</v>
      </c>
      <c r="C209" s="5" t="s">
        <v>175</v>
      </c>
      <c r="D209" s="5" t="s">
        <v>89</v>
      </c>
      <c r="E209" s="5" t="s">
        <v>144</v>
      </c>
      <c r="F209" s="5" t="s">
        <v>84</v>
      </c>
      <c r="G209" s="5" t="s">
        <v>145</v>
      </c>
      <c r="H209" s="5" t="s">
        <v>146</v>
      </c>
    </row>
    <row r="210" spans="1:8">
      <c r="A210" s="5" t="s">
        <v>674</v>
      </c>
      <c r="B210" s="5" t="s">
        <v>81</v>
      </c>
      <c r="C210" s="5" t="s">
        <v>123</v>
      </c>
      <c r="D210" s="5" t="s">
        <v>756</v>
      </c>
      <c r="E210" s="5"/>
      <c r="F210" s="5" t="s">
        <v>84</v>
      </c>
      <c r="G210" s="5" t="s">
        <v>125</v>
      </c>
      <c r="H210" s="5" t="s">
        <v>126</v>
      </c>
    </row>
    <row r="211" spans="1:8">
      <c r="A211" s="5" t="s">
        <v>675</v>
      </c>
      <c r="B211" s="5" t="s">
        <v>81</v>
      </c>
      <c r="C211" s="5" t="s">
        <v>100</v>
      </c>
      <c r="D211" s="5" t="s">
        <v>228</v>
      </c>
      <c r="E211" s="5"/>
      <c r="F211" s="5" t="s">
        <v>84</v>
      </c>
      <c r="G211" s="5" t="s">
        <v>102</v>
      </c>
      <c r="H211" s="5" t="s">
        <v>103</v>
      </c>
    </row>
    <row r="212" spans="1:8">
      <c r="A212" s="5" t="s">
        <v>677</v>
      </c>
      <c r="B212" s="5" t="s">
        <v>81</v>
      </c>
      <c r="C212" s="5" t="s">
        <v>111</v>
      </c>
      <c r="D212" s="5" t="s">
        <v>759</v>
      </c>
      <c r="E212" s="5"/>
      <c r="F212" s="5" t="s">
        <v>84</v>
      </c>
      <c r="G212" s="5" t="s">
        <v>760</v>
      </c>
      <c r="H212" s="5" t="s">
        <v>761</v>
      </c>
    </row>
    <row r="213" spans="1:8">
      <c r="A213" s="5" t="s">
        <v>678</v>
      </c>
      <c r="B213" s="5" t="s">
        <v>81</v>
      </c>
      <c r="C213" s="5" t="s">
        <v>317</v>
      </c>
      <c r="D213" s="5" t="s">
        <v>763</v>
      </c>
      <c r="E213" s="5"/>
      <c r="F213" s="5" t="s">
        <v>84</v>
      </c>
      <c r="G213" s="5" t="s">
        <v>764</v>
      </c>
      <c r="H213" s="5" t="s">
        <v>765</v>
      </c>
    </row>
    <row r="214" spans="1:8">
      <c r="A214" s="5" t="s">
        <v>680</v>
      </c>
      <c r="B214" s="5" t="s">
        <v>81</v>
      </c>
      <c r="C214" s="5" t="s">
        <v>175</v>
      </c>
      <c r="D214" s="5" t="s">
        <v>89</v>
      </c>
      <c r="E214" s="5" t="s">
        <v>609</v>
      </c>
      <c r="F214" s="5" t="s">
        <v>84</v>
      </c>
      <c r="G214" s="5" t="s">
        <v>91</v>
      </c>
      <c r="H214" s="5" t="s">
        <v>92</v>
      </c>
    </row>
    <row r="215" spans="1:8">
      <c r="A215" s="5" t="s">
        <v>681</v>
      </c>
      <c r="B215" s="5" t="s">
        <v>81</v>
      </c>
      <c r="C215" s="5" t="s">
        <v>123</v>
      </c>
      <c r="D215" s="5" t="s">
        <v>768</v>
      </c>
      <c r="E215" s="5"/>
      <c r="F215" s="5" t="s">
        <v>84</v>
      </c>
      <c r="G215" s="5" t="s">
        <v>125</v>
      </c>
      <c r="H215" s="5" t="s">
        <v>126</v>
      </c>
    </row>
    <row r="216" spans="1:8">
      <c r="A216" s="5" t="s">
        <v>682</v>
      </c>
      <c r="B216" s="5" t="s">
        <v>81</v>
      </c>
      <c r="C216" s="5" t="s">
        <v>770</v>
      </c>
      <c r="D216" s="5" t="s">
        <v>59</v>
      </c>
      <c r="E216" s="5" t="s">
        <v>242</v>
      </c>
      <c r="F216" s="5" t="s">
        <v>32</v>
      </c>
      <c r="G216" s="5" t="s">
        <v>243</v>
      </c>
      <c r="H216" s="5" t="s">
        <v>244</v>
      </c>
    </row>
    <row r="217" spans="1:8">
      <c r="A217" s="5" t="s">
        <v>684</v>
      </c>
      <c r="B217" s="5" t="s">
        <v>81</v>
      </c>
      <c r="C217" s="5" t="s">
        <v>82</v>
      </c>
      <c r="D217" s="5" t="s">
        <v>772</v>
      </c>
      <c r="E217" s="5"/>
      <c r="F217" s="5" t="s">
        <v>84</v>
      </c>
      <c r="G217" s="5" t="s">
        <v>85</v>
      </c>
      <c r="H217" s="5" t="s">
        <v>86</v>
      </c>
    </row>
    <row r="218" spans="1:8">
      <c r="A218" s="5" t="s">
        <v>687</v>
      </c>
      <c r="B218" s="5" t="s">
        <v>81</v>
      </c>
      <c r="C218" s="5" t="s">
        <v>246</v>
      </c>
      <c r="D218" s="5" t="s">
        <v>89</v>
      </c>
      <c r="E218" s="5" t="s">
        <v>368</v>
      </c>
      <c r="F218" s="5"/>
      <c r="G218" s="5" t="s">
        <v>369</v>
      </c>
      <c r="H218" s="5" t="s">
        <v>370</v>
      </c>
    </row>
    <row r="219" spans="1:8">
      <c r="A219" s="5" t="s">
        <v>692</v>
      </c>
      <c r="B219" s="5" t="s">
        <v>81</v>
      </c>
      <c r="C219" s="5" t="s">
        <v>88</v>
      </c>
      <c r="D219" s="5" t="s">
        <v>89</v>
      </c>
      <c r="E219" s="5" t="s">
        <v>191</v>
      </c>
      <c r="F219" s="5" t="s">
        <v>84</v>
      </c>
      <c r="G219" s="5" t="s">
        <v>91</v>
      </c>
      <c r="H219" s="5" t="s">
        <v>92</v>
      </c>
    </row>
    <row r="220" spans="1:8">
      <c r="A220" s="5" t="s">
        <v>695</v>
      </c>
      <c r="B220" s="5" t="s">
        <v>81</v>
      </c>
      <c r="C220" s="5" t="s">
        <v>100</v>
      </c>
      <c r="D220" s="5" t="s">
        <v>166</v>
      </c>
      <c r="E220" s="5"/>
      <c r="F220" s="5" t="s">
        <v>84</v>
      </c>
      <c r="G220" s="5" t="s">
        <v>167</v>
      </c>
      <c r="H220" s="5" t="s">
        <v>168</v>
      </c>
    </row>
    <row r="221" spans="1:8">
      <c r="A221" s="5" t="s">
        <v>700</v>
      </c>
      <c r="B221" s="5" t="s">
        <v>81</v>
      </c>
      <c r="C221" s="5" t="s">
        <v>777</v>
      </c>
      <c r="D221" s="5" t="s">
        <v>778</v>
      </c>
      <c r="E221" s="5"/>
      <c r="F221" s="5" t="s">
        <v>84</v>
      </c>
      <c r="G221" s="5" t="s">
        <v>136</v>
      </c>
      <c r="H221" s="5" t="s">
        <v>137</v>
      </c>
    </row>
    <row r="222" spans="1:8">
      <c r="A222" s="5" t="s">
        <v>702</v>
      </c>
      <c r="B222" s="5" t="s">
        <v>81</v>
      </c>
      <c r="C222" s="5" t="s">
        <v>246</v>
      </c>
      <c r="D222" s="5" t="s">
        <v>89</v>
      </c>
      <c r="E222" s="5" t="s">
        <v>504</v>
      </c>
      <c r="F222" s="5"/>
      <c r="G222" s="5" t="s">
        <v>505</v>
      </c>
      <c r="H222" s="5" t="s">
        <v>506</v>
      </c>
    </row>
    <row r="223" spans="1:8">
      <c r="A223" s="5" t="s">
        <v>704</v>
      </c>
      <c r="B223" s="5" t="s">
        <v>81</v>
      </c>
      <c r="C223" s="5" t="s">
        <v>781</v>
      </c>
      <c r="D223" s="5" t="s">
        <v>782</v>
      </c>
      <c r="E223" s="5"/>
      <c r="F223" s="5"/>
      <c r="G223" s="5" t="s">
        <v>155</v>
      </c>
      <c r="H223" s="5" t="s">
        <v>156</v>
      </c>
    </row>
    <row r="224" spans="1:8">
      <c r="A224" s="5" t="s">
        <v>706</v>
      </c>
      <c r="B224" s="5" t="s">
        <v>81</v>
      </c>
      <c r="C224" s="5" t="s">
        <v>420</v>
      </c>
      <c r="D224" s="5" t="s">
        <v>328</v>
      </c>
      <c r="E224" s="5" t="s">
        <v>329</v>
      </c>
      <c r="F224" s="5" t="s">
        <v>84</v>
      </c>
      <c r="G224" s="5" t="s">
        <v>330</v>
      </c>
      <c r="H224" s="5" t="s">
        <v>331</v>
      </c>
    </row>
    <row r="225" spans="1:8">
      <c r="A225" s="5" t="s">
        <v>707</v>
      </c>
      <c r="B225" s="5" t="s">
        <v>81</v>
      </c>
      <c r="C225" s="5" t="s">
        <v>785</v>
      </c>
      <c r="D225" s="5" t="s">
        <v>786</v>
      </c>
      <c r="E225" s="5"/>
      <c r="F225" s="5"/>
      <c r="G225" s="5" t="s">
        <v>787</v>
      </c>
      <c r="H225" s="5" t="s">
        <v>788</v>
      </c>
    </row>
    <row r="226" spans="1:8">
      <c r="A226" s="5" t="s">
        <v>708</v>
      </c>
      <c r="B226" s="5" t="s">
        <v>81</v>
      </c>
      <c r="C226" s="5" t="s">
        <v>82</v>
      </c>
      <c r="D226" s="5" t="s">
        <v>792</v>
      </c>
      <c r="E226" s="5"/>
      <c r="F226" s="5" t="s">
        <v>84</v>
      </c>
      <c r="G226" s="5" t="s">
        <v>85</v>
      </c>
      <c r="H226" s="5" t="s">
        <v>86</v>
      </c>
    </row>
    <row r="227" spans="1:8">
      <c r="A227" s="5" t="s">
        <v>709</v>
      </c>
      <c r="B227" s="5" t="s">
        <v>81</v>
      </c>
      <c r="C227" s="5" t="s">
        <v>303</v>
      </c>
      <c r="D227" s="5" t="s">
        <v>794</v>
      </c>
      <c r="E227" s="5" t="s">
        <v>795</v>
      </c>
      <c r="F227" s="5" t="s">
        <v>84</v>
      </c>
      <c r="G227" s="5" t="s">
        <v>796</v>
      </c>
      <c r="H227" s="5" t="s">
        <v>797</v>
      </c>
    </row>
    <row r="228" spans="1:8">
      <c r="A228" s="23" t="s">
        <v>710</v>
      </c>
      <c r="B228" s="6" t="s">
        <v>81</v>
      </c>
      <c r="C228" s="6" t="s">
        <v>117</v>
      </c>
      <c r="D228" s="6" t="s">
        <v>118</v>
      </c>
      <c r="E228" s="6" t="s">
        <v>119</v>
      </c>
      <c r="F228" s="6" t="s">
        <v>84</v>
      </c>
      <c r="G228" s="6" t="s">
        <v>120</v>
      </c>
      <c r="H228" s="6" t="s">
        <v>121</v>
      </c>
    </row>
    <row r="229" spans="1:8">
      <c r="A229" s="23" t="s">
        <v>714</v>
      </c>
      <c r="B229" s="6" t="s">
        <v>81</v>
      </c>
      <c r="C229" s="6" t="s">
        <v>165</v>
      </c>
      <c r="D229" s="6" t="s">
        <v>166</v>
      </c>
      <c r="E229" s="6"/>
      <c r="F229" s="6" t="s">
        <v>84</v>
      </c>
      <c r="G229" s="6" t="s">
        <v>167</v>
      </c>
      <c r="H229" s="6" t="s">
        <v>168</v>
      </c>
    </row>
    <row r="230" spans="1:8">
      <c r="A230" s="23" t="s">
        <v>717</v>
      </c>
      <c r="B230" s="6" t="s">
        <v>81</v>
      </c>
      <c r="C230" s="6" t="s">
        <v>223</v>
      </c>
      <c r="D230" s="6" t="s">
        <v>224</v>
      </c>
      <c r="E230" s="6" t="s">
        <v>119</v>
      </c>
      <c r="F230" s="6" t="s">
        <v>84</v>
      </c>
      <c r="G230" s="6" t="s">
        <v>120</v>
      </c>
      <c r="H230" s="6" t="s">
        <v>121</v>
      </c>
    </row>
    <row r="231" spans="1:8">
      <c r="A231" s="23" t="s">
        <v>718</v>
      </c>
      <c r="B231" s="6" t="s">
        <v>81</v>
      </c>
      <c r="C231" s="6" t="s">
        <v>111</v>
      </c>
      <c r="D231" s="6" t="s">
        <v>182</v>
      </c>
      <c r="E231" s="6" t="s">
        <v>257</v>
      </c>
      <c r="F231" s="6" t="s">
        <v>84</v>
      </c>
      <c r="G231" s="6" t="s">
        <v>114</v>
      </c>
      <c r="H231" s="6" t="s">
        <v>115</v>
      </c>
    </row>
    <row r="232" spans="1:8">
      <c r="A232" s="23" t="s">
        <v>719</v>
      </c>
      <c r="B232" s="6" t="s">
        <v>81</v>
      </c>
      <c r="C232" s="6" t="s">
        <v>111</v>
      </c>
      <c r="D232" s="6" t="s">
        <v>259</v>
      </c>
      <c r="E232" s="6" t="s">
        <v>257</v>
      </c>
      <c r="F232" s="6" t="s">
        <v>84</v>
      </c>
      <c r="G232" s="6" t="s">
        <v>114</v>
      </c>
      <c r="H232" s="6" t="s">
        <v>115</v>
      </c>
    </row>
    <row r="233" spans="1:8">
      <c r="A233" s="23" t="s">
        <v>721</v>
      </c>
      <c r="B233" s="6" t="s">
        <v>81</v>
      </c>
      <c r="C233" s="6" t="s">
        <v>276</v>
      </c>
      <c r="D233" s="6" t="s">
        <v>277</v>
      </c>
      <c r="E233" s="6" t="s">
        <v>119</v>
      </c>
      <c r="F233" s="6" t="s">
        <v>84</v>
      </c>
      <c r="G233" s="6" t="s">
        <v>120</v>
      </c>
      <c r="H233" s="6" t="s">
        <v>121</v>
      </c>
    </row>
    <row r="234" spans="1:8">
      <c r="A234" s="23" t="s">
        <v>723</v>
      </c>
      <c r="B234" s="6" t="s">
        <v>81</v>
      </c>
      <c r="C234" s="6" t="s">
        <v>386</v>
      </c>
      <c r="D234" s="6" t="s">
        <v>387</v>
      </c>
      <c r="E234" s="6" t="s">
        <v>119</v>
      </c>
      <c r="F234" s="6" t="s">
        <v>84</v>
      </c>
      <c r="G234" s="6" t="s">
        <v>120</v>
      </c>
      <c r="H234" s="6" t="s">
        <v>121</v>
      </c>
    </row>
    <row r="235" spans="1:8">
      <c r="A235" s="23" t="s">
        <v>724</v>
      </c>
      <c r="B235" s="6" t="s">
        <v>81</v>
      </c>
      <c r="C235" s="6" t="s">
        <v>480</v>
      </c>
      <c r="D235" s="6" t="s">
        <v>224</v>
      </c>
      <c r="E235" s="6" t="s">
        <v>119</v>
      </c>
      <c r="F235" s="6" t="s">
        <v>84</v>
      </c>
      <c r="G235" s="6" t="s">
        <v>120</v>
      </c>
      <c r="H235" s="6" t="s">
        <v>121</v>
      </c>
    </row>
    <row r="236" spans="1:8">
      <c r="A236" s="23" t="s">
        <v>726</v>
      </c>
      <c r="B236" s="6" t="s">
        <v>81</v>
      </c>
      <c r="C236" s="6" t="s">
        <v>111</v>
      </c>
      <c r="D236" s="6" t="s">
        <v>259</v>
      </c>
      <c r="E236" s="6"/>
      <c r="F236" s="6"/>
      <c r="G236" s="6" t="s">
        <v>577</v>
      </c>
      <c r="H236" s="6" t="s">
        <v>578</v>
      </c>
    </row>
    <row r="237" spans="1:8">
      <c r="A237" s="23" t="s">
        <v>730</v>
      </c>
      <c r="B237" s="6" t="s">
        <v>81</v>
      </c>
      <c r="C237" s="6" t="s">
        <v>94</v>
      </c>
      <c r="D237" s="6" t="s">
        <v>588</v>
      </c>
      <c r="E237" s="6" t="s">
        <v>119</v>
      </c>
      <c r="F237" s="6" t="s">
        <v>84</v>
      </c>
      <c r="G237" s="6" t="s">
        <v>120</v>
      </c>
      <c r="H237" s="6" t="s">
        <v>121</v>
      </c>
    </row>
    <row r="238" spans="1:8">
      <c r="A238" s="23" t="s">
        <v>731</v>
      </c>
      <c r="B238" s="6" t="s">
        <v>81</v>
      </c>
      <c r="C238" s="6" t="s">
        <v>372</v>
      </c>
      <c r="D238" s="6" t="s">
        <v>478</v>
      </c>
      <c r="E238" s="6" t="s">
        <v>119</v>
      </c>
      <c r="F238" s="6" t="s">
        <v>84</v>
      </c>
      <c r="G238" s="6" t="s">
        <v>120</v>
      </c>
      <c r="H238" s="6" t="s">
        <v>121</v>
      </c>
    </row>
    <row r="239" spans="1:8">
      <c r="A239" s="23" t="s">
        <v>733</v>
      </c>
      <c r="B239" s="6" t="s">
        <v>81</v>
      </c>
      <c r="C239" s="6" t="s">
        <v>651</v>
      </c>
      <c r="D239" s="6" t="s">
        <v>224</v>
      </c>
      <c r="E239" s="6" t="s">
        <v>119</v>
      </c>
      <c r="F239" s="6" t="s">
        <v>84</v>
      </c>
      <c r="G239" s="6" t="s">
        <v>120</v>
      </c>
      <c r="H239" s="6" t="s">
        <v>121</v>
      </c>
    </row>
    <row r="240" spans="1:8">
      <c r="A240" s="23" t="s">
        <v>734</v>
      </c>
      <c r="B240" s="6" t="s">
        <v>81</v>
      </c>
      <c r="C240" s="6" t="s">
        <v>117</v>
      </c>
      <c r="D240" s="6" t="s">
        <v>662</v>
      </c>
      <c r="E240" s="6" t="s">
        <v>119</v>
      </c>
      <c r="F240" s="6" t="s">
        <v>84</v>
      </c>
      <c r="G240" s="6" t="s">
        <v>120</v>
      </c>
      <c r="H240" s="6" t="s">
        <v>121</v>
      </c>
    </row>
    <row r="241" spans="1:8">
      <c r="A241" s="23" t="s">
        <v>735</v>
      </c>
      <c r="B241" s="6" t="s">
        <v>81</v>
      </c>
      <c r="C241" s="6" t="s">
        <v>117</v>
      </c>
      <c r="D241" s="6" t="s">
        <v>588</v>
      </c>
      <c r="E241" s="6" t="s">
        <v>119</v>
      </c>
      <c r="F241" s="6" t="s">
        <v>84</v>
      </c>
      <c r="G241" s="6" t="s">
        <v>120</v>
      </c>
      <c r="H241" s="6" t="s">
        <v>121</v>
      </c>
    </row>
    <row r="242" spans="1:8">
      <c r="A242" s="23" t="s">
        <v>737</v>
      </c>
      <c r="B242" s="6" t="s">
        <v>81</v>
      </c>
      <c r="C242" s="6" t="s">
        <v>685</v>
      </c>
      <c r="D242" s="6" t="s">
        <v>686</v>
      </c>
      <c r="E242" s="6" t="s">
        <v>119</v>
      </c>
      <c r="F242" s="6" t="s">
        <v>84</v>
      </c>
      <c r="G242" s="6" t="s">
        <v>120</v>
      </c>
      <c r="H242" s="6" t="s">
        <v>121</v>
      </c>
    </row>
    <row r="243" spans="1:8">
      <c r="A243" s="23" t="s">
        <v>742</v>
      </c>
      <c r="B243" s="6" t="s">
        <v>81</v>
      </c>
      <c r="C243" s="6" t="s">
        <v>117</v>
      </c>
      <c r="D243" s="6" t="s">
        <v>753</v>
      </c>
      <c r="E243" s="6" t="s">
        <v>119</v>
      </c>
      <c r="F243" s="6" t="s">
        <v>84</v>
      </c>
      <c r="G243" s="6" t="s">
        <v>120</v>
      </c>
      <c r="H243" s="6" t="s">
        <v>121</v>
      </c>
    </row>
    <row r="244" spans="1:8">
      <c r="A244" s="23" t="s">
        <v>744</v>
      </c>
      <c r="B244" s="6" t="s">
        <v>81</v>
      </c>
      <c r="C244" s="6" t="s">
        <v>688</v>
      </c>
      <c r="D244" s="6" t="s">
        <v>790</v>
      </c>
      <c r="E244" s="6" t="s">
        <v>119</v>
      </c>
      <c r="F244" s="6" t="s">
        <v>84</v>
      </c>
      <c r="G244" s="6" t="s">
        <v>120</v>
      </c>
      <c r="H244" s="6" t="s">
        <v>121</v>
      </c>
    </row>
    <row r="245" spans="1:8">
      <c r="A245" s="11" t="s">
        <v>746</v>
      </c>
      <c r="B245" s="11" t="s">
        <v>81</v>
      </c>
      <c r="C245" s="11" t="s">
        <v>554</v>
      </c>
      <c r="D245" s="11" t="s">
        <v>402</v>
      </c>
      <c r="E245" s="11"/>
      <c r="F245" s="11" t="s">
        <v>84</v>
      </c>
      <c r="G245" s="11" t="s">
        <v>3085</v>
      </c>
      <c r="H245" s="11" t="s">
        <v>404</v>
      </c>
    </row>
    <row r="246" spans="1:8">
      <c r="A246" s="11" t="s">
        <v>748</v>
      </c>
      <c r="B246" s="11" t="s">
        <v>81</v>
      </c>
      <c r="C246" s="11" t="s">
        <v>448</v>
      </c>
      <c r="D246" s="11" t="s">
        <v>462</v>
      </c>
      <c r="E246" s="11"/>
      <c r="F246" s="11" t="s">
        <v>84</v>
      </c>
      <c r="G246" s="11" t="s">
        <v>3087</v>
      </c>
      <c r="H246" s="11" t="s">
        <v>413</v>
      </c>
    </row>
    <row r="247" spans="1:8">
      <c r="A247" s="11" t="s">
        <v>752</v>
      </c>
      <c r="B247" s="11" t="s">
        <v>81</v>
      </c>
      <c r="C247" s="11" t="s">
        <v>801</v>
      </c>
      <c r="D247" s="11" t="s">
        <v>802</v>
      </c>
      <c r="E247" s="11"/>
      <c r="F247" s="11" t="s">
        <v>84</v>
      </c>
      <c r="G247" s="11" t="s">
        <v>3167</v>
      </c>
      <c r="H247" s="11" t="s">
        <v>803</v>
      </c>
    </row>
    <row r="248" spans="1:8">
      <c r="A248" s="11" t="s">
        <v>754</v>
      </c>
      <c r="B248" s="11" t="s">
        <v>81</v>
      </c>
      <c r="C248" s="11" t="s">
        <v>805</v>
      </c>
      <c r="D248" s="11" t="s">
        <v>59</v>
      </c>
      <c r="E248" s="11" t="s">
        <v>242</v>
      </c>
      <c r="F248" s="11" t="s">
        <v>32</v>
      </c>
      <c r="G248" s="11" t="s">
        <v>2730</v>
      </c>
      <c r="H248" s="11" t="s">
        <v>244</v>
      </c>
    </row>
    <row r="249" spans="1:8">
      <c r="A249" s="11" t="s">
        <v>755</v>
      </c>
      <c r="B249" s="11" t="s">
        <v>81</v>
      </c>
      <c r="C249" s="11" t="s">
        <v>514</v>
      </c>
      <c r="D249" s="11" t="s">
        <v>515</v>
      </c>
      <c r="E249" s="11" t="s">
        <v>807</v>
      </c>
      <c r="F249" s="11" t="s">
        <v>32</v>
      </c>
      <c r="G249" s="11" t="s">
        <v>3129</v>
      </c>
      <c r="H249" s="11" t="s">
        <v>808</v>
      </c>
    </row>
    <row r="250" spans="1:8">
      <c r="A250" s="11" t="s">
        <v>757</v>
      </c>
      <c r="B250" s="11" t="s">
        <v>81</v>
      </c>
      <c r="C250" s="11" t="s">
        <v>82</v>
      </c>
      <c r="D250" s="11" t="s">
        <v>810</v>
      </c>
      <c r="E250" s="11"/>
      <c r="F250" s="11" t="s">
        <v>84</v>
      </c>
      <c r="G250" s="11" t="s">
        <v>85</v>
      </c>
      <c r="H250" s="11" t="s">
        <v>86</v>
      </c>
    </row>
    <row r="251" spans="1:8">
      <c r="A251" s="11" t="s">
        <v>758</v>
      </c>
      <c r="B251" s="11" t="s">
        <v>81</v>
      </c>
      <c r="C251" s="11" t="s">
        <v>246</v>
      </c>
      <c r="D251" s="11" t="s">
        <v>154</v>
      </c>
      <c r="E251" s="11"/>
      <c r="F251" s="11"/>
      <c r="G251" s="11" t="s">
        <v>155</v>
      </c>
      <c r="H251" s="11" t="s">
        <v>156</v>
      </c>
    </row>
    <row r="252" spans="1:8">
      <c r="A252" s="11" t="s">
        <v>762</v>
      </c>
      <c r="B252" s="11" t="s">
        <v>81</v>
      </c>
      <c r="C252" s="11" t="s">
        <v>813</v>
      </c>
      <c r="D252" s="11" t="s">
        <v>343</v>
      </c>
      <c r="E252" s="11"/>
      <c r="F252" s="11" t="s">
        <v>84</v>
      </c>
      <c r="G252" s="11" t="s">
        <v>344</v>
      </c>
      <c r="H252" s="11" t="s">
        <v>345</v>
      </c>
    </row>
    <row r="253" spans="1:8">
      <c r="A253" s="11" t="s">
        <v>766</v>
      </c>
      <c r="B253" s="11" t="s">
        <v>81</v>
      </c>
      <c r="C253" s="11" t="s">
        <v>123</v>
      </c>
      <c r="D253" s="11" t="s">
        <v>815</v>
      </c>
      <c r="E253" s="11"/>
      <c r="F253" s="11" t="s">
        <v>84</v>
      </c>
      <c r="G253" s="11" t="s">
        <v>459</v>
      </c>
      <c r="H253" s="11" t="s">
        <v>460</v>
      </c>
    </row>
    <row r="254" spans="1:8">
      <c r="A254" s="11" t="s">
        <v>767</v>
      </c>
      <c r="B254" s="11" t="s">
        <v>81</v>
      </c>
      <c r="C254" s="11" t="s">
        <v>88</v>
      </c>
      <c r="D254" s="11" t="s">
        <v>247</v>
      </c>
      <c r="E254" s="11" t="s">
        <v>248</v>
      </c>
      <c r="F254" s="11" t="s">
        <v>84</v>
      </c>
      <c r="G254" s="11" t="s">
        <v>91</v>
      </c>
      <c r="H254" s="11" t="s">
        <v>92</v>
      </c>
    </row>
    <row r="255" spans="1:8">
      <c r="A255" s="11" t="s">
        <v>769</v>
      </c>
      <c r="B255" s="11" t="s">
        <v>81</v>
      </c>
      <c r="C255" s="11" t="s">
        <v>111</v>
      </c>
      <c r="D255" s="11" t="s">
        <v>259</v>
      </c>
      <c r="E255" s="11" t="s">
        <v>183</v>
      </c>
      <c r="F255" s="11" t="s">
        <v>84</v>
      </c>
      <c r="G255" s="11" t="s">
        <v>184</v>
      </c>
      <c r="H255" s="11" t="s">
        <v>185</v>
      </c>
    </row>
    <row r="256" spans="1:8">
      <c r="A256" s="11" t="s">
        <v>771</v>
      </c>
      <c r="B256" s="11" t="s">
        <v>81</v>
      </c>
      <c r="C256" s="11" t="s">
        <v>819</v>
      </c>
      <c r="D256" s="11" t="s">
        <v>820</v>
      </c>
      <c r="E256" s="11"/>
      <c r="F256" s="11" t="s">
        <v>84</v>
      </c>
      <c r="G256" s="11" t="s">
        <v>821</v>
      </c>
      <c r="H256" s="11" t="s">
        <v>822</v>
      </c>
    </row>
    <row r="257" spans="1:8">
      <c r="A257" s="11" t="s">
        <v>773</v>
      </c>
      <c r="B257" s="11" t="s">
        <v>81</v>
      </c>
      <c r="C257" s="11" t="s">
        <v>88</v>
      </c>
      <c r="D257" s="11" t="s">
        <v>89</v>
      </c>
      <c r="E257" s="11" t="s">
        <v>492</v>
      </c>
      <c r="F257" s="11" t="s">
        <v>84</v>
      </c>
      <c r="G257" s="11" t="s">
        <v>91</v>
      </c>
      <c r="H257" s="11" t="s">
        <v>92</v>
      </c>
    </row>
    <row r="258" spans="1:8">
      <c r="A258" s="11" t="s">
        <v>774</v>
      </c>
      <c r="B258" s="11" t="s">
        <v>81</v>
      </c>
      <c r="C258" s="11" t="s">
        <v>82</v>
      </c>
      <c r="D258" s="11" t="s">
        <v>825</v>
      </c>
      <c r="E258" s="11"/>
      <c r="F258" s="11" t="s">
        <v>84</v>
      </c>
      <c r="G258" s="11" t="s">
        <v>85</v>
      </c>
      <c r="H258" s="11" t="s">
        <v>86</v>
      </c>
    </row>
    <row r="259" spans="1:8">
      <c r="A259" s="11" t="s">
        <v>775</v>
      </c>
      <c r="B259" s="11" t="s">
        <v>81</v>
      </c>
      <c r="C259" s="11" t="s">
        <v>133</v>
      </c>
      <c r="D259" s="11" t="s">
        <v>381</v>
      </c>
      <c r="E259" s="11"/>
      <c r="F259" s="11" t="s">
        <v>84</v>
      </c>
      <c r="G259" s="11" t="s">
        <v>382</v>
      </c>
      <c r="H259" s="11" t="s">
        <v>383</v>
      </c>
    </row>
    <row r="260" spans="1:8">
      <c r="A260" s="11" t="s">
        <v>776</v>
      </c>
      <c r="B260" s="11" t="s">
        <v>81</v>
      </c>
      <c r="C260" s="11" t="s">
        <v>88</v>
      </c>
      <c r="D260" s="11" t="s">
        <v>89</v>
      </c>
      <c r="E260" s="11" t="s">
        <v>158</v>
      </c>
      <c r="F260" s="11" t="s">
        <v>84</v>
      </c>
      <c r="G260" s="11" t="s">
        <v>91</v>
      </c>
      <c r="H260" s="11" t="s">
        <v>92</v>
      </c>
    </row>
    <row r="261" spans="1:8">
      <c r="A261" s="11" t="s">
        <v>779</v>
      </c>
      <c r="B261" s="11" t="s">
        <v>81</v>
      </c>
      <c r="C261" s="11" t="s">
        <v>829</v>
      </c>
      <c r="D261" s="11" t="s">
        <v>378</v>
      </c>
      <c r="E261" s="11" t="s">
        <v>197</v>
      </c>
      <c r="F261" s="11" t="s">
        <v>32</v>
      </c>
      <c r="G261" s="11" t="s">
        <v>198</v>
      </c>
      <c r="H261" s="11" t="s">
        <v>199</v>
      </c>
    </row>
    <row r="262" spans="1:8">
      <c r="A262" s="11" t="s">
        <v>780</v>
      </c>
      <c r="B262" s="11" t="s">
        <v>81</v>
      </c>
      <c r="C262" s="11" t="s">
        <v>831</v>
      </c>
      <c r="D262" s="11" t="s">
        <v>832</v>
      </c>
      <c r="E262" s="11" t="s">
        <v>833</v>
      </c>
      <c r="F262" s="11" t="s">
        <v>84</v>
      </c>
      <c r="G262" s="11" t="s">
        <v>834</v>
      </c>
      <c r="H262" s="11" t="s">
        <v>835</v>
      </c>
    </row>
    <row r="263" spans="1:8">
      <c r="A263" s="11" t="s">
        <v>783</v>
      </c>
      <c r="B263" s="11" t="s">
        <v>81</v>
      </c>
      <c r="C263" s="11" t="s">
        <v>837</v>
      </c>
      <c r="D263" s="11" t="s">
        <v>402</v>
      </c>
      <c r="E263" s="11"/>
      <c r="F263" s="11" t="s">
        <v>84</v>
      </c>
      <c r="G263" s="11" t="s">
        <v>403</v>
      </c>
      <c r="H263" s="11" t="s">
        <v>404</v>
      </c>
    </row>
    <row r="264" spans="1:8">
      <c r="A264" s="11" t="s">
        <v>784</v>
      </c>
      <c r="B264" s="11" t="s">
        <v>81</v>
      </c>
      <c r="C264" s="11" t="s">
        <v>111</v>
      </c>
      <c r="D264" s="11" t="s">
        <v>259</v>
      </c>
      <c r="E264" s="11" t="s">
        <v>537</v>
      </c>
      <c r="F264" s="11" t="s">
        <v>84</v>
      </c>
      <c r="G264" s="11" t="s">
        <v>330</v>
      </c>
      <c r="H264" s="11" t="s">
        <v>331</v>
      </c>
    </row>
    <row r="265" spans="1:8">
      <c r="A265" s="11" t="s">
        <v>789</v>
      </c>
      <c r="B265" s="11" t="s">
        <v>81</v>
      </c>
      <c r="C265" s="11" t="s">
        <v>82</v>
      </c>
      <c r="D265" s="11" t="s">
        <v>840</v>
      </c>
      <c r="E265" s="11"/>
      <c r="F265" s="11" t="s">
        <v>84</v>
      </c>
      <c r="G265" s="11" t="s">
        <v>85</v>
      </c>
      <c r="H265" s="11" t="s">
        <v>86</v>
      </c>
    </row>
    <row r="266" spans="1:8">
      <c r="A266" s="11" t="s">
        <v>791</v>
      </c>
      <c r="B266" s="11" t="s">
        <v>81</v>
      </c>
      <c r="C266" s="11" t="s">
        <v>128</v>
      </c>
      <c r="D266" s="11" t="s">
        <v>842</v>
      </c>
      <c r="E266" s="11"/>
      <c r="F266" s="11" t="s">
        <v>84</v>
      </c>
      <c r="G266" s="11" t="s">
        <v>843</v>
      </c>
      <c r="H266" s="11" t="s">
        <v>844</v>
      </c>
    </row>
    <row r="267" spans="1:8">
      <c r="A267" s="11" t="s">
        <v>793</v>
      </c>
      <c r="B267" s="11" t="s">
        <v>81</v>
      </c>
      <c r="C267" s="11" t="s">
        <v>846</v>
      </c>
      <c r="D267" s="11" t="s">
        <v>847</v>
      </c>
      <c r="E267" s="11" t="s">
        <v>119</v>
      </c>
      <c r="F267" s="11" t="s">
        <v>84</v>
      </c>
      <c r="G267" s="11" t="s">
        <v>120</v>
      </c>
      <c r="H267" s="11" t="s">
        <v>121</v>
      </c>
    </row>
    <row r="268" spans="1:8">
      <c r="A268" s="11" t="s">
        <v>798</v>
      </c>
      <c r="B268" s="11" t="s">
        <v>81</v>
      </c>
      <c r="C268" s="11" t="s">
        <v>201</v>
      </c>
      <c r="D268" s="11" t="s">
        <v>849</v>
      </c>
      <c r="E268" s="11"/>
      <c r="F268" s="11" t="s">
        <v>84</v>
      </c>
      <c r="G268" s="11" t="s">
        <v>203</v>
      </c>
      <c r="H268" s="11" t="s">
        <v>204</v>
      </c>
    </row>
    <row r="269" spans="1:8">
      <c r="A269" s="11" t="s">
        <v>799</v>
      </c>
      <c r="B269" s="11" t="s">
        <v>81</v>
      </c>
      <c r="C269" s="11" t="s">
        <v>851</v>
      </c>
      <c r="D269" s="11" t="s">
        <v>247</v>
      </c>
      <c r="E269" s="11" t="s">
        <v>248</v>
      </c>
      <c r="F269" s="11" t="s">
        <v>84</v>
      </c>
      <c r="G269" s="11" t="s">
        <v>91</v>
      </c>
      <c r="H269" s="11" t="s">
        <v>92</v>
      </c>
    </row>
    <row r="270" spans="1:8">
      <c r="A270" s="11" t="s">
        <v>800</v>
      </c>
      <c r="B270" s="11" t="s">
        <v>81</v>
      </c>
      <c r="C270" s="11" t="s">
        <v>82</v>
      </c>
      <c r="D270" s="11" t="s">
        <v>853</v>
      </c>
      <c r="E270" s="11"/>
      <c r="F270" s="11" t="s">
        <v>84</v>
      </c>
      <c r="G270" s="11" t="s">
        <v>85</v>
      </c>
      <c r="H270" s="11" t="s">
        <v>86</v>
      </c>
    </row>
    <row r="271" spans="1:8">
      <c r="A271" s="11" t="s">
        <v>804</v>
      </c>
      <c r="B271" s="11" t="s">
        <v>81</v>
      </c>
      <c r="C271" s="11" t="s">
        <v>170</v>
      </c>
      <c r="D271" s="11" t="s">
        <v>794</v>
      </c>
      <c r="E271" s="11" t="s">
        <v>795</v>
      </c>
      <c r="F271" s="11" t="s">
        <v>84</v>
      </c>
      <c r="G271" s="11" t="s">
        <v>796</v>
      </c>
      <c r="H271" s="11" t="s">
        <v>797</v>
      </c>
    </row>
    <row r="272" spans="1:8">
      <c r="A272" s="11" t="s">
        <v>806</v>
      </c>
      <c r="B272" s="11" t="s">
        <v>81</v>
      </c>
      <c r="C272" s="11" t="s">
        <v>170</v>
      </c>
      <c r="D272" s="11" t="s">
        <v>856</v>
      </c>
      <c r="E272" s="11" t="s">
        <v>857</v>
      </c>
      <c r="F272" s="11" t="s">
        <v>84</v>
      </c>
      <c r="G272" s="11" t="s">
        <v>796</v>
      </c>
      <c r="H272" s="11" t="s">
        <v>797</v>
      </c>
    </row>
    <row r="273" spans="1:8">
      <c r="A273" s="11" t="s">
        <v>809</v>
      </c>
      <c r="B273" s="11" t="s">
        <v>81</v>
      </c>
      <c r="C273" s="11" t="s">
        <v>358</v>
      </c>
      <c r="D273" s="11" t="s">
        <v>134</v>
      </c>
      <c r="E273" s="11" t="s">
        <v>636</v>
      </c>
      <c r="F273" s="11" t="s">
        <v>84</v>
      </c>
      <c r="G273" s="11" t="s">
        <v>136</v>
      </c>
      <c r="H273" s="11" t="s">
        <v>137</v>
      </c>
    </row>
    <row r="274" spans="1:8">
      <c r="A274" s="11" t="s">
        <v>811</v>
      </c>
      <c r="B274" s="11" t="s">
        <v>81</v>
      </c>
      <c r="C274" s="11" t="s">
        <v>860</v>
      </c>
      <c r="D274" s="11" t="s">
        <v>387</v>
      </c>
      <c r="E274" s="11" t="s">
        <v>119</v>
      </c>
      <c r="F274" s="11" t="s">
        <v>84</v>
      </c>
      <c r="G274" s="11" t="s">
        <v>120</v>
      </c>
      <c r="H274" s="11" t="s">
        <v>121</v>
      </c>
    </row>
    <row r="275" spans="1:8">
      <c r="A275" s="11" t="s">
        <v>812</v>
      </c>
      <c r="B275" s="13" t="s">
        <v>81</v>
      </c>
      <c r="C275" s="13" t="s">
        <v>270</v>
      </c>
      <c r="D275" s="13" t="s">
        <v>271</v>
      </c>
      <c r="E275" s="13" t="s">
        <v>862</v>
      </c>
      <c r="F275" s="13" t="s">
        <v>84</v>
      </c>
      <c r="G275" s="13" t="s">
        <v>273</v>
      </c>
      <c r="H275" s="13" t="s">
        <v>274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workbookViewId="0">
      <selection activeCell="D16" sqref="D16:D17"/>
    </sheetView>
  </sheetViews>
  <sheetFormatPr defaultRowHeight="15"/>
  <cols>
    <col min="3" max="3" width="10.5703125" customWidth="1"/>
    <col min="4" max="4" width="10.28515625" customWidth="1"/>
    <col min="6" max="6" width="10.28515625" customWidth="1"/>
  </cols>
  <sheetData>
    <row r="1" spans="1:8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13</v>
      </c>
    </row>
    <row r="2" spans="1:8">
      <c r="A2" s="5" t="s">
        <v>7</v>
      </c>
      <c r="B2" s="5" t="s">
        <v>29</v>
      </c>
      <c r="C2" s="5"/>
      <c r="D2" s="5" t="s">
        <v>30</v>
      </c>
      <c r="E2" s="5" t="s">
        <v>31</v>
      </c>
      <c r="F2" s="5" t="s">
        <v>32</v>
      </c>
      <c r="G2" s="5" t="s">
        <v>2721</v>
      </c>
      <c r="H2" s="5" t="s">
        <v>33</v>
      </c>
    </row>
    <row r="3" spans="1:8">
      <c r="A3" s="5" t="s">
        <v>9</v>
      </c>
      <c r="B3" s="5" t="s">
        <v>29</v>
      </c>
      <c r="C3" s="5"/>
      <c r="D3" s="5" t="s">
        <v>35</v>
      </c>
      <c r="E3" s="5" t="s">
        <v>36</v>
      </c>
      <c r="F3" s="5" t="s">
        <v>32</v>
      </c>
      <c r="G3" s="5" t="s">
        <v>2731</v>
      </c>
      <c r="H3" s="5" t="s">
        <v>37</v>
      </c>
    </row>
    <row r="4" spans="1:8">
      <c r="A4" s="5" t="s">
        <v>10</v>
      </c>
      <c r="B4" s="5" t="s">
        <v>29</v>
      </c>
      <c r="C4" s="5"/>
      <c r="D4" s="5" t="s">
        <v>39</v>
      </c>
      <c r="E4" s="5" t="s">
        <v>36</v>
      </c>
      <c r="F4" s="5" t="s">
        <v>32</v>
      </c>
      <c r="G4" s="5" t="s">
        <v>2731</v>
      </c>
      <c r="H4" s="5" t="s">
        <v>37</v>
      </c>
    </row>
    <row r="5" spans="1:8">
      <c r="A5" s="5" t="s">
        <v>12</v>
      </c>
      <c r="B5" s="5" t="s">
        <v>29</v>
      </c>
      <c r="C5" s="5"/>
      <c r="D5" s="5" t="s">
        <v>45</v>
      </c>
      <c r="E5" s="5" t="s">
        <v>42</v>
      </c>
      <c r="F5" s="5" t="s">
        <v>32</v>
      </c>
      <c r="G5" s="5" t="s">
        <v>2716</v>
      </c>
      <c r="H5" s="5" t="s">
        <v>43</v>
      </c>
    </row>
    <row r="6" spans="1:8">
      <c r="A6" s="5" t="s">
        <v>28</v>
      </c>
      <c r="B6" s="5" t="s">
        <v>29</v>
      </c>
      <c r="C6" s="5"/>
      <c r="D6" s="5" t="s">
        <v>47</v>
      </c>
      <c r="E6" s="5" t="s">
        <v>48</v>
      </c>
      <c r="F6" s="5" t="s">
        <v>32</v>
      </c>
      <c r="G6" s="5" t="s">
        <v>2728</v>
      </c>
      <c r="H6" s="5" t="s">
        <v>49</v>
      </c>
    </row>
    <row r="7" spans="1:8">
      <c r="A7" s="5" t="s">
        <v>34</v>
      </c>
      <c r="B7" s="5" t="s">
        <v>29</v>
      </c>
      <c r="C7" s="5"/>
      <c r="D7" s="5" t="s">
        <v>51</v>
      </c>
      <c r="E7" s="5" t="s">
        <v>42</v>
      </c>
      <c r="F7" s="5" t="s">
        <v>32</v>
      </c>
      <c r="G7" s="5" t="s">
        <v>2716</v>
      </c>
      <c r="H7" s="5" t="s">
        <v>43</v>
      </c>
    </row>
    <row r="8" spans="1:8">
      <c r="A8" s="5" t="s">
        <v>38</v>
      </c>
      <c r="B8" s="5" t="s">
        <v>29</v>
      </c>
      <c r="C8" s="5"/>
      <c r="D8" s="5" t="s">
        <v>53</v>
      </c>
      <c r="E8" s="5" t="s">
        <v>42</v>
      </c>
      <c r="F8" s="5" t="s">
        <v>32</v>
      </c>
      <c r="G8" s="5" t="s">
        <v>2716</v>
      </c>
      <c r="H8" s="5" t="s">
        <v>43</v>
      </c>
    </row>
    <row r="9" spans="1:8">
      <c r="A9" s="5" t="s">
        <v>40</v>
      </c>
      <c r="B9" s="5" t="s">
        <v>29</v>
      </c>
      <c r="C9" s="5"/>
      <c r="D9" s="5" t="s">
        <v>55</v>
      </c>
      <c r="E9" s="5" t="s">
        <v>31</v>
      </c>
      <c r="F9" s="5" t="s">
        <v>32</v>
      </c>
      <c r="G9" s="5" t="s">
        <v>2721</v>
      </c>
      <c r="H9" s="5" t="s">
        <v>33</v>
      </c>
    </row>
    <row r="10" spans="1:8">
      <c r="A10" s="5" t="s">
        <v>44</v>
      </c>
      <c r="B10" s="5" t="s">
        <v>29</v>
      </c>
      <c r="C10" s="5"/>
      <c r="D10" s="5" t="s">
        <v>57</v>
      </c>
      <c r="E10" s="5" t="s">
        <v>42</v>
      </c>
      <c r="F10" s="5" t="s">
        <v>32</v>
      </c>
      <c r="G10" s="5" t="s">
        <v>2716</v>
      </c>
      <c r="H10" s="5" t="s">
        <v>43</v>
      </c>
    </row>
    <row r="11" spans="1:8">
      <c r="A11" s="5" t="s">
        <v>46</v>
      </c>
      <c r="B11" s="5" t="s">
        <v>29</v>
      </c>
      <c r="C11" s="5"/>
      <c r="D11" s="5" t="s">
        <v>59</v>
      </c>
      <c r="E11" s="5" t="s">
        <v>36</v>
      </c>
      <c r="F11" s="5" t="s">
        <v>32</v>
      </c>
      <c r="G11" s="5" t="s">
        <v>2731</v>
      </c>
      <c r="H11" s="5" t="s">
        <v>37</v>
      </c>
    </row>
    <row r="12" spans="1:8">
      <c r="A12" s="5" t="s">
        <v>50</v>
      </c>
      <c r="B12" s="5" t="s">
        <v>29</v>
      </c>
      <c r="C12" s="5"/>
      <c r="D12" s="5" t="s">
        <v>61</v>
      </c>
      <c r="E12" s="5" t="s">
        <v>42</v>
      </c>
      <c r="F12" s="5" t="s">
        <v>32</v>
      </c>
      <c r="G12" s="5" t="s">
        <v>2716</v>
      </c>
      <c r="H12" s="5" t="s">
        <v>43</v>
      </c>
    </row>
    <row r="13" spans="1:8">
      <c r="A13" s="5" t="s">
        <v>52</v>
      </c>
      <c r="B13" s="5" t="s">
        <v>29</v>
      </c>
      <c r="C13" s="5"/>
      <c r="D13" s="5" t="s">
        <v>65</v>
      </c>
      <c r="E13" s="5" t="s">
        <v>66</v>
      </c>
      <c r="F13" s="5" t="s">
        <v>32</v>
      </c>
      <c r="G13" s="5" t="s">
        <v>2719</v>
      </c>
      <c r="H13" s="5" t="s">
        <v>67</v>
      </c>
    </row>
    <row r="14" spans="1:8">
      <c r="A14" s="5" t="s">
        <v>54</v>
      </c>
      <c r="B14" s="5" t="s">
        <v>29</v>
      </c>
      <c r="C14" s="5"/>
      <c r="D14" s="5" t="s">
        <v>69</v>
      </c>
      <c r="E14" s="5" t="s">
        <v>42</v>
      </c>
      <c r="F14" s="5" t="s">
        <v>32</v>
      </c>
      <c r="G14" s="5" t="s">
        <v>2716</v>
      </c>
      <c r="H14" s="5" t="s">
        <v>43</v>
      </c>
    </row>
    <row r="15" spans="1:8">
      <c r="A15" s="5" t="s">
        <v>56</v>
      </c>
      <c r="B15" s="5" t="s">
        <v>29</v>
      </c>
      <c r="C15" s="5"/>
      <c r="D15" s="5" t="s">
        <v>71</v>
      </c>
      <c r="E15" s="5" t="s">
        <v>42</v>
      </c>
      <c r="F15" s="5" t="s">
        <v>32</v>
      </c>
      <c r="G15" s="5" t="s">
        <v>2716</v>
      </c>
      <c r="H15" s="5" t="s">
        <v>43</v>
      </c>
    </row>
    <row r="16" spans="1:8">
      <c r="A16" s="23" t="s">
        <v>58</v>
      </c>
      <c r="B16" s="6" t="s">
        <v>29</v>
      </c>
      <c r="C16" s="6"/>
      <c r="D16" s="6" t="s">
        <v>41</v>
      </c>
      <c r="E16" s="6" t="s">
        <v>42</v>
      </c>
      <c r="F16" s="6" t="s">
        <v>32</v>
      </c>
      <c r="G16" s="6" t="s">
        <v>2716</v>
      </c>
      <c r="H16" s="6" t="s">
        <v>43</v>
      </c>
    </row>
    <row r="17" spans="1:8">
      <c r="A17" s="23" t="s">
        <v>60</v>
      </c>
      <c r="B17" s="19" t="s">
        <v>29</v>
      </c>
      <c r="C17" s="19"/>
      <c r="D17" s="19" t="s">
        <v>63</v>
      </c>
      <c r="E17" s="19" t="s">
        <v>42</v>
      </c>
      <c r="F17" s="19" t="s">
        <v>32</v>
      </c>
      <c r="G17" s="19" t="s">
        <v>2716</v>
      </c>
      <c r="H17" s="19" t="s">
        <v>43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0"/>
  <sheetViews>
    <sheetView topLeftCell="A46" workbookViewId="0">
      <selection activeCell="G60" sqref="G60"/>
    </sheetView>
  </sheetViews>
  <sheetFormatPr defaultRowHeight="15"/>
  <cols>
    <col min="3" max="3" width="10.5703125" customWidth="1"/>
    <col min="4" max="4" width="10.28515625" customWidth="1"/>
    <col min="6" max="6" width="10.28515625" customWidth="1"/>
  </cols>
  <sheetData>
    <row r="1" spans="1:7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</row>
    <row r="2" spans="1:7">
      <c r="A2" s="5" t="s">
        <v>2732</v>
      </c>
      <c r="B2" s="5" t="s">
        <v>1593</v>
      </c>
      <c r="C2" s="5"/>
      <c r="D2" s="5"/>
      <c r="E2" s="5" t="s">
        <v>1594</v>
      </c>
      <c r="F2" s="5" t="s">
        <v>32</v>
      </c>
      <c r="G2" s="5" t="s">
        <v>2685</v>
      </c>
    </row>
    <row r="3" spans="1:7">
      <c r="A3" s="5" t="s">
        <v>2733</v>
      </c>
      <c r="B3" s="5" t="s">
        <v>1593</v>
      </c>
      <c r="C3" s="5"/>
      <c r="D3" s="5"/>
      <c r="E3" s="5" t="s">
        <v>1595</v>
      </c>
      <c r="F3" s="5" t="s">
        <v>32</v>
      </c>
      <c r="G3" s="5" t="s">
        <v>2686</v>
      </c>
    </row>
    <row r="4" spans="1:7">
      <c r="A4" s="5" t="s">
        <v>2734</v>
      </c>
      <c r="B4" s="5" t="s">
        <v>1593</v>
      </c>
      <c r="C4" s="5"/>
      <c r="D4" s="5"/>
      <c r="E4" s="5" t="s">
        <v>1596</v>
      </c>
      <c r="F4" s="5" t="s">
        <v>32</v>
      </c>
      <c r="G4" s="5" t="s">
        <v>2687</v>
      </c>
    </row>
    <row r="5" spans="1:7">
      <c r="A5" s="5" t="s">
        <v>2735</v>
      </c>
      <c r="B5" s="5" t="s">
        <v>1593</v>
      </c>
      <c r="C5" s="5"/>
      <c r="D5" s="5"/>
      <c r="E5" s="5" t="s">
        <v>1597</v>
      </c>
      <c r="F5" s="5" t="s">
        <v>32</v>
      </c>
      <c r="G5" s="5" t="s">
        <v>2688</v>
      </c>
    </row>
    <row r="6" spans="1:7">
      <c r="A6" s="5" t="s">
        <v>2736</v>
      </c>
      <c r="B6" s="5" t="s">
        <v>1593</v>
      </c>
      <c r="C6" s="5"/>
      <c r="D6" s="5"/>
      <c r="E6" s="5" t="s">
        <v>1598</v>
      </c>
      <c r="F6" s="5" t="s">
        <v>32</v>
      </c>
      <c r="G6" s="5" t="s">
        <v>2689</v>
      </c>
    </row>
    <row r="7" spans="1:7">
      <c r="A7" s="5" t="s">
        <v>2737</v>
      </c>
      <c r="B7" s="5" t="s">
        <v>1593</v>
      </c>
      <c r="C7" s="5"/>
      <c r="D7" s="5"/>
      <c r="E7" s="5" t="s">
        <v>1599</v>
      </c>
      <c r="F7" s="5" t="s">
        <v>32</v>
      </c>
      <c r="G7" s="5" t="s">
        <v>2690</v>
      </c>
    </row>
    <row r="8" spans="1:7">
      <c r="A8" s="5" t="s">
        <v>2738</v>
      </c>
      <c r="B8" s="5" t="s">
        <v>1593</v>
      </c>
      <c r="C8" s="5"/>
      <c r="D8" s="5"/>
      <c r="E8" s="5" t="s">
        <v>1600</v>
      </c>
      <c r="F8" s="5" t="s">
        <v>32</v>
      </c>
      <c r="G8" s="5" t="s">
        <v>2691</v>
      </c>
    </row>
    <row r="9" spans="1:7">
      <c r="A9" s="5" t="s">
        <v>2739</v>
      </c>
      <c r="B9" s="5" t="s">
        <v>1593</v>
      </c>
      <c r="C9" s="5"/>
      <c r="D9" s="5"/>
      <c r="E9" s="5" t="s">
        <v>1601</v>
      </c>
      <c r="F9" s="5" t="s">
        <v>32</v>
      </c>
      <c r="G9" s="5" t="s">
        <v>2692</v>
      </c>
    </row>
    <row r="10" spans="1:7">
      <c r="A10" s="5" t="s">
        <v>2740</v>
      </c>
      <c r="B10" s="5" t="s">
        <v>1593</v>
      </c>
      <c r="C10" s="5"/>
      <c r="D10" s="5"/>
      <c r="E10" s="5" t="s">
        <v>1602</v>
      </c>
      <c r="F10" s="5" t="s">
        <v>32</v>
      </c>
      <c r="G10" s="5" t="s">
        <v>2693</v>
      </c>
    </row>
    <row r="11" spans="1:7">
      <c r="A11" s="5" t="s">
        <v>2741</v>
      </c>
      <c r="B11" s="5" t="s">
        <v>1593</v>
      </c>
      <c r="C11" s="5"/>
      <c r="D11" s="5"/>
      <c r="E11" s="5" t="s">
        <v>1604</v>
      </c>
      <c r="F11" s="5" t="s">
        <v>32</v>
      </c>
      <c r="G11" s="5" t="s">
        <v>2694</v>
      </c>
    </row>
    <row r="12" spans="1:7">
      <c r="A12" s="5" t="s">
        <v>2742</v>
      </c>
      <c r="B12" s="5" t="s">
        <v>1593</v>
      </c>
      <c r="C12" s="5"/>
      <c r="D12" s="5"/>
      <c r="E12" s="5" t="s">
        <v>1605</v>
      </c>
      <c r="F12" s="5" t="s">
        <v>32</v>
      </c>
      <c r="G12" s="5" t="s">
        <v>2695</v>
      </c>
    </row>
    <row r="13" spans="1:7">
      <c r="A13" s="5" t="s">
        <v>2743</v>
      </c>
      <c r="B13" s="5" t="s">
        <v>1593</v>
      </c>
      <c r="C13" s="5"/>
      <c r="D13" s="5"/>
      <c r="E13" s="5" t="s">
        <v>516</v>
      </c>
      <c r="F13" s="5" t="s">
        <v>32</v>
      </c>
      <c r="G13" s="5" t="s">
        <v>2668</v>
      </c>
    </row>
    <row r="14" spans="1:7">
      <c r="A14" s="5" t="s">
        <v>2744</v>
      </c>
      <c r="B14" s="5" t="s">
        <v>1593</v>
      </c>
      <c r="C14" s="5"/>
      <c r="D14" s="5"/>
      <c r="E14" s="5" t="s">
        <v>1606</v>
      </c>
      <c r="F14" s="5" t="s">
        <v>32</v>
      </c>
      <c r="G14" s="5" t="s">
        <v>2696</v>
      </c>
    </row>
    <row r="15" spans="1:7">
      <c r="A15" s="5" t="s">
        <v>2745</v>
      </c>
      <c r="B15" s="5" t="s">
        <v>1593</v>
      </c>
      <c r="C15" s="5"/>
      <c r="D15" s="5"/>
      <c r="E15" s="5" t="s">
        <v>1607</v>
      </c>
      <c r="F15" s="5" t="s">
        <v>32</v>
      </c>
      <c r="G15" s="5" t="s">
        <v>2697</v>
      </c>
    </row>
    <row r="16" spans="1:7">
      <c r="A16" s="5" t="s">
        <v>2746</v>
      </c>
      <c r="B16" s="5" t="s">
        <v>1593</v>
      </c>
      <c r="C16" s="5"/>
      <c r="D16" s="5"/>
      <c r="E16" s="5" t="s">
        <v>1609</v>
      </c>
      <c r="F16" s="5" t="s">
        <v>32</v>
      </c>
      <c r="G16" s="5" t="s">
        <v>2698</v>
      </c>
    </row>
    <row r="17" spans="1:7">
      <c r="A17" s="5" t="s">
        <v>2747</v>
      </c>
      <c r="B17" s="5" t="s">
        <v>1593</v>
      </c>
      <c r="C17" s="5"/>
      <c r="D17" s="5"/>
      <c r="E17" s="5" t="s">
        <v>1610</v>
      </c>
      <c r="F17" s="5" t="s">
        <v>32</v>
      </c>
      <c r="G17" s="5" t="s">
        <v>2699</v>
      </c>
    </row>
    <row r="18" spans="1:7">
      <c r="A18" s="5" t="s">
        <v>2748</v>
      </c>
      <c r="B18" s="5" t="s">
        <v>1593</v>
      </c>
      <c r="C18" s="5"/>
      <c r="D18" s="5"/>
      <c r="E18" s="5" t="s">
        <v>1127</v>
      </c>
      <c r="F18" s="5" t="s">
        <v>32</v>
      </c>
      <c r="G18" s="5" t="s">
        <v>2700</v>
      </c>
    </row>
    <row r="19" spans="1:7">
      <c r="A19" s="5" t="s">
        <v>2749</v>
      </c>
      <c r="B19" s="5" t="s">
        <v>1593</v>
      </c>
      <c r="C19" s="5"/>
      <c r="D19" s="5"/>
      <c r="E19" s="5" t="s">
        <v>1611</v>
      </c>
      <c r="F19" s="5" t="s">
        <v>32</v>
      </c>
      <c r="G19" s="5" t="s">
        <v>2701</v>
      </c>
    </row>
    <row r="20" spans="1:7">
      <c r="A20" s="5" t="s">
        <v>2750</v>
      </c>
      <c r="B20" s="5" t="s">
        <v>1593</v>
      </c>
      <c r="C20" s="5"/>
      <c r="D20" s="5"/>
      <c r="E20" s="5" t="s">
        <v>89</v>
      </c>
      <c r="F20" s="5" t="s">
        <v>32</v>
      </c>
      <c r="G20" s="5" t="s">
        <v>2702</v>
      </c>
    </row>
    <row r="21" spans="1:7">
      <c r="A21" s="5" t="s">
        <v>2751</v>
      </c>
      <c r="B21" s="5" t="s">
        <v>1593</v>
      </c>
      <c r="C21" s="5"/>
      <c r="D21" s="5"/>
      <c r="E21" s="5" t="s">
        <v>1613</v>
      </c>
      <c r="F21" s="5" t="s">
        <v>32</v>
      </c>
      <c r="G21" s="5" t="s">
        <v>2703</v>
      </c>
    </row>
    <row r="22" spans="1:7">
      <c r="A22" s="5" t="s">
        <v>2752</v>
      </c>
      <c r="B22" s="5" t="s">
        <v>1593</v>
      </c>
      <c r="C22" s="5"/>
      <c r="D22" s="5"/>
      <c r="E22" s="5" t="s">
        <v>1614</v>
      </c>
      <c r="F22" s="5" t="s">
        <v>32</v>
      </c>
      <c r="G22" s="5" t="s">
        <v>2704</v>
      </c>
    </row>
    <row r="23" spans="1:7">
      <c r="A23" s="5" t="s">
        <v>2753</v>
      </c>
      <c r="B23" s="5" t="s">
        <v>1593</v>
      </c>
      <c r="C23" s="5"/>
      <c r="D23" s="5"/>
      <c r="E23" s="5" t="s">
        <v>1615</v>
      </c>
      <c r="F23" s="5" t="s">
        <v>32</v>
      </c>
      <c r="G23" s="5" t="s">
        <v>2705</v>
      </c>
    </row>
    <row r="24" spans="1:7">
      <c r="A24" s="5" t="s">
        <v>2754</v>
      </c>
      <c r="B24" s="5" t="s">
        <v>1593</v>
      </c>
      <c r="C24" s="5"/>
      <c r="D24" s="5"/>
      <c r="E24" s="5" t="s">
        <v>1616</v>
      </c>
      <c r="F24" s="5" t="s">
        <v>32</v>
      </c>
      <c r="G24" s="5" t="s">
        <v>2706</v>
      </c>
    </row>
    <row r="25" spans="1:7">
      <c r="A25" s="5" t="s">
        <v>2755</v>
      </c>
      <c r="B25" s="5" t="s">
        <v>1593</v>
      </c>
      <c r="C25" s="5"/>
      <c r="D25" s="5"/>
      <c r="E25" s="5" t="s">
        <v>1617</v>
      </c>
      <c r="F25" s="5" t="s">
        <v>32</v>
      </c>
      <c r="G25" s="5" t="s">
        <v>2707</v>
      </c>
    </row>
    <row r="26" spans="1:7">
      <c r="A26" s="5" t="s">
        <v>2756</v>
      </c>
      <c r="B26" s="5" t="s">
        <v>1593</v>
      </c>
      <c r="C26" s="5"/>
      <c r="D26" s="5"/>
      <c r="E26" s="5" t="s">
        <v>1618</v>
      </c>
      <c r="F26" s="5" t="s">
        <v>32</v>
      </c>
      <c r="G26" s="5" t="s">
        <v>2708</v>
      </c>
    </row>
    <row r="27" spans="1:7">
      <c r="A27" s="5" t="s">
        <v>2757</v>
      </c>
      <c r="B27" s="5" t="s">
        <v>1593</v>
      </c>
      <c r="C27" s="5"/>
      <c r="D27" s="5"/>
      <c r="E27" s="5" t="s">
        <v>1619</v>
      </c>
      <c r="F27" s="5" t="s">
        <v>32</v>
      </c>
      <c r="G27" s="5" t="s">
        <v>2709</v>
      </c>
    </row>
    <row r="28" spans="1:7">
      <c r="A28" s="5" t="s">
        <v>2758</v>
      </c>
      <c r="B28" s="5" t="s">
        <v>1593</v>
      </c>
      <c r="C28" s="5"/>
      <c r="D28" s="5"/>
      <c r="E28" s="5" t="s">
        <v>242</v>
      </c>
      <c r="F28" s="5" t="s">
        <v>32</v>
      </c>
      <c r="G28" s="5" t="s">
        <v>2667</v>
      </c>
    </row>
    <row r="29" spans="1:7">
      <c r="A29" s="5" t="s">
        <v>2759</v>
      </c>
      <c r="B29" s="5" t="s">
        <v>1593</v>
      </c>
      <c r="C29" s="5"/>
      <c r="D29" s="5"/>
      <c r="E29" s="5" t="s">
        <v>1620</v>
      </c>
      <c r="F29" s="5" t="s">
        <v>32</v>
      </c>
      <c r="G29" s="5" t="s">
        <v>2710</v>
      </c>
    </row>
    <row r="30" spans="1:7">
      <c r="A30" s="5" t="s">
        <v>2760</v>
      </c>
      <c r="B30" s="12" t="s">
        <v>1593</v>
      </c>
      <c r="C30" s="12"/>
      <c r="D30" s="12"/>
      <c r="E30" s="12" t="s">
        <v>242</v>
      </c>
      <c r="F30" s="12" t="s">
        <v>32</v>
      </c>
      <c r="G30" s="12" t="s">
        <v>1631</v>
      </c>
    </row>
    <row r="31" spans="1:7">
      <c r="A31" s="5" t="s">
        <v>2761</v>
      </c>
      <c r="B31" s="12" t="s">
        <v>1593</v>
      </c>
      <c r="C31" s="12"/>
      <c r="D31" s="12"/>
      <c r="E31" s="12" t="s">
        <v>1678</v>
      </c>
      <c r="F31" s="12" t="s">
        <v>32</v>
      </c>
      <c r="G31" s="12" t="s">
        <v>1679</v>
      </c>
    </row>
    <row r="32" spans="1:7">
      <c r="A32" s="5" t="s">
        <v>2762</v>
      </c>
      <c r="B32" s="12" t="s">
        <v>1593</v>
      </c>
      <c r="C32" s="12"/>
      <c r="D32" s="12"/>
      <c r="E32" s="12" t="s">
        <v>1584</v>
      </c>
      <c r="F32" s="12" t="s">
        <v>32</v>
      </c>
      <c r="G32" s="12" t="s">
        <v>1784</v>
      </c>
    </row>
    <row r="33" spans="1:7">
      <c r="A33" s="5" t="s">
        <v>2763</v>
      </c>
      <c r="B33" s="12" t="s">
        <v>1593</v>
      </c>
      <c r="C33" s="12"/>
      <c r="D33" s="12"/>
      <c r="E33" s="12" t="s">
        <v>1601</v>
      </c>
      <c r="F33" s="12" t="s">
        <v>32</v>
      </c>
      <c r="G33" s="12" t="s">
        <v>1785</v>
      </c>
    </row>
    <row r="34" spans="1:7">
      <c r="A34" s="5" t="s">
        <v>2764</v>
      </c>
      <c r="B34" s="12" t="s">
        <v>1593</v>
      </c>
      <c r="C34" s="12"/>
      <c r="D34" s="12"/>
      <c r="E34" s="12" t="s">
        <v>1127</v>
      </c>
      <c r="F34" s="12" t="s">
        <v>32</v>
      </c>
      <c r="G34" s="12" t="s">
        <v>1786</v>
      </c>
    </row>
    <row r="35" spans="1:7">
      <c r="A35" s="5" t="s">
        <v>2765</v>
      </c>
      <c r="B35" s="12" t="s">
        <v>1593</v>
      </c>
      <c r="C35" s="12"/>
      <c r="D35" s="12"/>
      <c r="E35" s="12" t="s">
        <v>1599</v>
      </c>
      <c r="F35" s="12" t="s">
        <v>32</v>
      </c>
      <c r="G35" s="12" t="s">
        <v>1787</v>
      </c>
    </row>
    <row r="36" spans="1:7">
      <c r="A36" s="5" t="s">
        <v>2766</v>
      </c>
      <c r="B36" s="12" t="s">
        <v>1593</v>
      </c>
      <c r="C36" s="12"/>
      <c r="D36" s="12"/>
      <c r="E36" s="12" t="s">
        <v>1788</v>
      </c>
      <c r="F36" s="12" t="s">
        <v>32</v>
      </c>
      <c r="G36" s="12" t="s">
        <v>1789</v>
      </c>
    </row>
    <row r="37" spans="1:7">
      <c r="A37" s="5" t="s">
        <v>2767</v>
      </c>
      <c r="B37" s="12" t="s">
        <v>1593</v>
      </c>
      <c r="C37" s="12"/>
      <c r="D37" s="12"/>
      <c r="E37" s="12" t="s">
        <v>1790</v>
      </c>
      <c r="F37" s="12" t="s">
        <v>32</v>
      </c>
      <c r="G37" s="12" t="s">
        <v>1791</v>
      </c>
    </row>
    <row r="38" spans="1:7">
      <c r="A38" s="5" t="s">
        <v>2768</v>
      </c>
      <c r="B38" s="12" t="s">
        <v>1593</v>
      </c>
      <c r="C38" s="12"/>
      <c r="D38" s="12"/>
      <c r="E38" s="12" t="s">
        <v>1792</v>
      </c>
      <c r="F38" s="12" t="s">
        <v>32</v>
      </c>
      <c r="G38" s="12" t="s">
        <v>1793</v>
      </c>
    </row>
    <row r="39" spans="1:7">
      <c r="A39" s="5" t="s">
        <v>2769</v>
      </c>
      <c r="B39" s="12" t="s">
        <v>1593</v>
      </c>
      <c r="C39" s="12"/>
      <c r="D39" s="12"/>
      <c r="E39" s="12" t="s">
        <v>711</v>
      </c>
      <c r="F39" s="12" t="s">
        <v>32</v>
      </c>
      <c r="G39" s="12" t="s">
        <v>1794</v>
      </c>
    </row>
    <row r="40" spans="1:7">
      <c r="A40" s="5" t="s">
        <v>2770</v>
      </c>
      <c r="B40" s="12" t="s">
        <v>1593</v>
      </c>
      <c r="C40" s="12"/>
      <c r="D40" s="12"/>
      <c r="E40" s="12" t="s">
        <v>982</v>
      </c>
      <c r="F40" s="12" t="s">
        <v>32</v>
      </c>
      <c r="G40" s="12" t="s">
        <v>1795</v>
      </c>
    </row>
    <row r="41" spans="1:7">
      <c r="A41" s="5" t="s">
        <v>2771</v>
      </c>
      <c r="B41" s="12" t="s">
        <v>1593</v>
      </c>
      <c r="C41" s="12"/>
      <c r="D41" s="12"/>
      <c r="E41" s="12" t="s">
        <v>1607</v>
      </c>
      <c r="F41" s="12" t="s">
        <v>32</v>
      </c>
      <c r="G41" s="12" t="s">
        <v>1796</v>
      </c>
    </row>
    <row r="42" spans="1:7">
      <c r="A42" s="5" t="s">
        <v>2772</v>
      </c>
      <c r="B42" s="12" t="s">
        <v>1593</v>
      </c>
      <c r="C42" s="12"/>
      <c r="D42" s="12"/>
      <c r="E42" s="12" t="s">
        <v>1596</v>
      </c>
      <c r="F42" s="12" t="s">
        <v>32</v>
      </c>
      <c r="G42" s="12" t="s">
        <v>1797</v>
      </c>
    </row>
    <row r="43" spans="1:7">
      <c r="A43" s="5" t="s">
        <v>2773</v>
      </c>
      <c r="B43" s="12" t="s">
        <v>1593</v>
      </c>
      <c r="C43" s="12"/>
      <c r="D43" s="12"/>
      <c r="E43" s="12" t="s">
        <v>1592</v>
      </c>
      <c r="F43" s="12" t="s">
        <v>32</v>
      </c>
      <c r="G43" s="12" t="s">
        <v>1798</v>
      </c>
    </row>
    <row r="44" spans="1:7">
      <c r="A44" s="5" t="s">
        <v>2774</v>
      </c>
      <c r="B44" s="12" t="s">
        <v>1593</v>
      </c>
      <c r="C44" s="12"/>
      <c r="D44" s="12"/>
      <c r="E44" s="12" t="s">
        <v>1602</v>
      </c>
      <c r="F44" s="12" t="s">
        <v>32</v>
      </c>
      <c r="G44" s="12" t="s">
        <v>1799</v>
      </c>
    </row>
    <row r="45" spans="1:7">
      <c r="A45" s="5" t="s">
        <v>2775</v>
      </c>
      <c r="B45" s="12" t="s">
        <v>1593</v>
      </c>
      <c r="C45" s="12"/>
      <c r="D45" s="12"/>
      <c r="E45" s="12" t="s">
        <v>1614</v>
      </c>
      <c r="F45" s="12" t="s">
        <v>32</v>
      </c>
      <c r="G45" s="12" t="s">
        <v>1800</v>
      </c>
    </row>
    <row r="46" spans="1:7">
      <c r="A46" s="5" t="s">
        <v>2776</v>
      </c>
      <c r="B46" s="12" t="s">
        <v>1593</v>
      </c>
      <c r="C46" s="12"/>
      <c r="D46" s="12"/>
      <c r="E46" s="12" t="s">
        <v>1801</v>
      </c>
      <c r="F46" s="12" t="s">
        <v>32</v>
      </c>
      <c r="G46" s="12" t="s">
        <v>1802</v>
      </c>
    </row>
    <row r="47" spans="1:7">
      <c r="A47" s="5" t="s">
        <v>2777</v>
      </c>
      <c r="B47" s="12" t="s">
        <v>1593</v>
      </c>
      <c r="C47" s="12"/>
      <c r="D47" s="12"/>
      <c r="E47" s="12" t="s">
        <v>1803</v>
      </c>
      <c r="F47" s="12" t="s">
        <v>32</v>
      </c>
      <c r="G47" s="12" t="s">
        <v>1804</v>
      </c>
    </row>
    <row r="48" spans="1:7">
      <c r="A48" s="5" t="s">
        <v>2778</v>
      </c>
      <c r="B48" s="12" t="s">
        <v>1593</v>
      </c>
      <c r="C48" s="12"/>
      <c r="D48" s="12"/>
      <c r="E48" s="12" t="s">
        <v>1033</v>
      </c>
      <c r="F48" s="12" t="s">
        <v>32</v>
      </c>
      <c r="G48" s="12" t="s">
        <v>1805</v>
      </c>
    </row>
    <row r="49" spans="1:7">
      <c r="A49" s="5" t="s">
        <v>2779</v>
      </c>
      <c r="B49" s="12" t="s">
        <v>1593</v>
      </c>
      <c r="C49" s="12"/>
      <c r="D49" s="12"/>
      <c r="E49" s="12" t="s">
        <v>1806</v>
      </c>
      <c r="F49" s="12" t="s">
        <v>32</v>
      </c>
      <c r="G49" s="12" t="s">
        <v>1807</v>
      </c>
    </row>
    <row r="50" spans="1:7">
      <c r="A50" s="5" t="s">
        <v>2780</v>
      </c>
      <c r="B50" s="12" t="s">
        <v>1593</v>
      </c>
      <c r="C50" s="12"/>
      <c r="D50" s="12"/>
      <c r="E50" s="12" t="s">
        <v>1598</v>
      </c>
      <c r="F50" s="12" t="s">
        <v>32</v>
      </c>
      <c r="G50" s="12" t="s">
        <v>1808</v>
      </c>
    </row>
    <row r="51" spans="1:7">
      <c r="A51" s="5" t="s">
        <v>2781</v>
      </c>
      <c r="B51" s="12" t="s">
        <v>1593</v>
      </c>
      <c r="C51" s="12"/>
      <c r="D51" s="12"/>
      <c r="E51" s="12" t="s">
        <v>1613</v>
      </c>
      <c r="F51" s="12" t="s">
        <v>32</v>
      </c>
      <c r="G51" s="12" t="s">
        <v>1809</v>
      </c>
    </row>
    <row r="52" spans="1:7">
      <c r="A52" s="5" t="s">
        <v>2782</v>
      </c>
      <c r="B52" s="12" t="s">
        <v>1593</v>
      </c>
      <c r="C52" s="12"/>
      <c r="D52" s="12"/>
      <c r="E52" s="12" t="s">
        <v>1610</v>
      </c>
      <c r="F52" s="12" t="s">
        <v>32</v>
      </c>
      <c r="G52" s="12" t="s">
        <v>1810</v>
      </c>
    </row>
    <row r="53" spans="1:7">
      <c r="A53" s="5" t="s">
        <v>2783</v>
      </c>
      <c r="B53" s="12" t="s">
        <v>1593</v>
      </c>
      <c r="C53" s="12"/>
      <c r="D53" s="12"/>
      <c r="E53" s="12" t="s">
        <v>1589</v>
      </c>
      <c r="F53" s="12" t="s">
        <v>32</v>
      </c>
      <c r="G53" s="12" t="s">
        <v>1811</v>
      </c>
    </row>
    <row r="54" spans="1:7">
      <c r="A54" s="5" t="s">
        <v>2784</v>
      </c>
      <c r="B54" s="12" t="s">
        <v>1593</v>
      </c>
      <c r="C54" s="12"/>
      <c r="D54" s="12"/>
      <c r="E54" s="12" t="s">
        <v>1618</v>
      </c>
      <c r="F54" s="12" t="s">
        <v>32</v>
      </c>
      <c r="G54" s="12" t="s">
        <v>1812</v>
      </c>
    </row>
    <row r="55" spans="1:7">
      <c r="A55" s="5" t="s">
        <v>2785</v>
      </c>
      <c r="B55" s="12" t="s">
        <v>1593</v>
      </c>
      <c r="C55" s="12"/>
      <c r="D55" s="12"/>
      <c r="E55" s="12" t="s">
        <v>1616</v>
      </c>
      <c r="F55" s="12" t="s">
        <v>32</v>
      </c>
      <c r="G55" s="12" t="s">
        <v>1813</v>
      </c>
    </row>
    <row r="56" spans="1:7">
      <c r="A56" s="5" t="s">
        <v>2786</v>
      </c>
      <c r="B56" s="12" t="s">
        <v>1593</v>
      </c>
      <c r="C56" s="12"/>
      <c r="D56" s="12"/>
      <c r="E56" s="12" t="s">
        <v>1595</v>
      </c>
      <c r="F56" s="12" t="s">
        <v>32</v>
      </c>
      <c r="G56" s="12" t="s">
        <v>1814</v>
      </c>
    </row>
    <row r="57" spans="1:7">
      <c r="A57" s="5" t="s">
        <v>2787</v>
      </c>
      <c r="B57" s="12" t="s">
        <v>1593</v>
      </c>
      <c r="C57" s="12"/>
      <c r="D57" s="12"/>
      <c r="E57" s="12" t="s">
        <v>1605</v>
      </c>
      <c r="F57" s="12" t="s">
        <v>32</v>
      </c>
      <c r="G57" s="12" t="s">
        <v>1815</v>
      </c>
    </row>
    <row r="58" spans="1:7">
      <c r="A58" s="5" t="s">
        <v>2788</v>
      </c>
      <c r="B58" s="12" t="s">
        <v>1593</v>
      </c>
      <c r="C58" s="12"/>
      <c r="D58" s="12"/>
      <c r="E58" s="12" t="s">
        <v>1615</v>
      </c>
      <c r="F58" s="12" t="s">
        <v>32</v>
      </c>
      <c r="G58" s="12" t="s">
        <v>1777</v>
      </c>
    </row>
    <row r="59" spans="1:7">
      <c r="A59" s="5" t="s">
        <v>2789</v>
      </c>
      <c r="B59" s="12" t="s">
        <v>1593</v>
      </c>
      <c r="C59" s="12"/>
      <c r="D59" s="12"/>
      <c r="E59" s="12" t="s">
        <v>1604</v>
      </c>
      <c r="F59" s="12" t="s">
        <v>32</v>
      </c>
      <c r="G59" s="12" t="s">
        <v>1816</v>
      </c>
    </row>
    <row r="60" spans="1:7">
      <c r="A60" s="5" t="s">
        <v>2790</v>
      </c>
      <c r="B60" s="12" t="s">
        <v>1593</v>
      </c>
      <c r="C60" s="12"/>
      <c r="D60" s="12"/>
      <c r="E60" s="12" t="s">
        <v>1597</v>
      </c>
      <c r="F60" s="12" t="s">
        <v>32</v>
      </c>
      <c r="G60" s="12" t="s">
        <v>1817</v>
      </c>
    </row>
    <row r="61" spans="1:7">
      <c r="A61" s="23" t="s">
        <v>2791</v>
      </c>
      <c r="B61" s="6" t="s">
        <v>1593</v>
      </c>
      <c r="C61" s="6"/>
      <c r="D61" s="6"/>
      <c r="E61" s="6" t="s">
        <v>1033</v>
      </c>
      <c r="F61" s="6" t="s">
        <v>32</v>
      </c>
      <c r="G61" s="6" t="s">
        <v>2711</v>
      </c>
    </row>
    <row r="62" spans="1:7">
      <c r="A62" s="23" t="s">
        <v>2792</v>
      </c>
      <c r="B62" s="6" t="s">
        <v>1593</v>
      </c>
      <c r="C62" s="6"/>
      <c r="D62" s="6"/>
      <c r="E62" s="6" t="s">
        <v>1603</v>
      </c>
      <c r="F62" s="6" t="s">
        <v>32</v>
      </c>
      <c r="G62" s="6" t="s">
        <v>2713</v>
      </c>
    </row>
    <row r="63" spans="1:7">
      <c r="A63" s="23" t="s">
        <v>2793</v>
      </c>
      <c r="B63" s="6" t="s">
        <v>1593</v>
      </c>
      <c r="C63" s="6"/>
      <c r="D63" s="6"/>
      <c r="E63" s="6" t="s">
        <v>1608</v>
      </c>
      <c r="F63" s="6" t="s">
        <v>32</v>
      </c>
      <c r="G63" s="6" t="s">
        <v>2714</v>
      </c>
    </row>
    <row r="64" spans="1:7">
      <c r="A64" s="23" t="s">
        <v>2794</v>
      </c>
      <c r="B64" s="6" t="s">
        <v>1593</v>
      </c>
      <c r="C64" s="6"/>
      <c r="D64" s="6"/>
      <c r="E64" s="6" t="s">
        <v>1612</v>
      </c>
      <c r="F64" s="6" t="s">
        <v>32</v>
      </c>
      <c r="G64" s="6" t="s">
        <v>2715</v>
      </c>
    </row>
    <row r="65" spans="1:7">
      <c r="A65" s="23" t="s">
        <v>2795</v>
      </c>
      <c r="B65" s="6" t="s">
        <v>1593</v>
      </c>
      <c r="C65" s="6"/>
      <c r="D65" s="6"/>
      <c r="E65" s="6" t="s">
        <v>711</v>
      </c>
      <c r="F65" s="6" t="s">
        <v>32</v>
      </c>
      <c r="G65" s="6" t="s">
        <v>2669</v>
      </c>
    </row>
    <row r="66" spans="1:7">
      <c r="A66" s="11" t="s">
        <v>2796</v>
      </c>
      <c r="B66" s="7" t="s">
        <v>1593</v>
      </c>
      <c r="C66" s="7"/>
      <c r="D66" s="7"/>
      <c r="E66" s="7" t="s">
        <v>1818</v>
      </c>
      <c r="F66" s="7" t="s">
        <v>32</v>
      </c>
      <c r="G66" s="7" t="s">
        <v>1819</v>
      </c>
    </row>
    <row r="67" spans="1:7">
      <c r="A67" s="11" t="s">
        <v>2797</v>
      </c>
      <c r="B67" s="7" t="s">
        <v>1593</v>
      </c>
      <c r="C67" s="7"/>
      <c r="D67" s="7"/>
      <c r="E67" s="7" t="s">
        <v>1820</v>
      </c>
      <c r="F67" s="7" t="s">
        <v>32</v>
      </c>
      <c r="G67" s="7" t="s">
        <v>1821</v>
      </c>
    </row>
    <row r="68" spans="1:7">
      <c r="A68" s="11" t="s">
        <v>2798</v>
      </c>
      <c r="B68" s="7" t="s">
        <v>1593</v>
      </c>
      <c r="C68" s="7"/>
      <c r="D68" s="7"/>
      <c r="E68" s="7" t="s">
        <v>1822</v>
      </c>
      <c r="F68" s="7" t="s">
        <v>32</v>
      </c>
      <c r="G68" s="7" t="s">
        <v>1823</v>
      </c>
    </row>
    <row r="69" spans="1:7">
      <c r="A69" s="11" t="s">
        <v>2799</v>
      </c>
      <c r="B69" s="7" t="s">
        <v>1593</v>
      </c>
      <c r="C69" s="7"/>
      <c r="D69" s="7"/>
      <c r="E69" s="7" t="s">
        <v>1824</v>
      </c>
      <c r="F69" s="7" t="s">
        <v>32</v>
      </c>
      <c r="G69" s="7" t="s">
        <v>1825</v>
      </c>
    </row>
    <row r="70" spans="1:7">
      <c r="A70" s="11" t="s">
        <v>2800</v>
      </c>
      <c r="B70" s="9" t="s">
        <v>1593</v>
      </c>
      <c r="C70" s="9"/>
      <c r="D70" s="9"/>
      <c r="E70" s="9" t="s">
        <v>1826</v>
      </c>
      <c r="F70" s="9" t="s">
        <v>32</v>
      </c>
      <c r="G70" s="9" t="s">
        <v>1827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19" workbookViewId="0">
      <selection activeCell="E52" sqref="E52"/>
    </sheetView>
  </sheetViews>
  <sheetFormatPr defaultRowHeight="15"/>
  <cols>
    <col min="3" max="3" width="10.5703125" customWidth="1"/>
    <col min="4" max="4" width="10.28515625" customWidth="1"/>
    <col min="6" max="6" width="10.28515625" customWidth="1"/>
  </cols>
  <sheetData>
    <row r="1" spans="1:7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</row>
    <row r="2" spans="1:7">
      <c r="A2" s="5" t="s">
        <v>2732</v>
      </c>
      <c r="B2" s="5" t="s">
        <v>1582</v>
      </c>
      <c r="C2" s="5"/>
      <c r="D2" s="5"/>
      <c r="E2" s="5" t="s">
        <v>1583</v>
      </c>
      <c r="F2" s="5" t="s">
        <v>32</v>
      </c>
      <c r="G2" s="5" t="s">
        <v>2675</v>
      </c>
    </row>
    <row r="3" spans="1:7">
      <c r="A3" s="5" t="s">
        <v>2733</v>
      </c>
      <c r="B3" s="5" t="s">
        <v>1582</v>
      </c>
      <c r="C3" s="5"/>
      <c r="D3" s="5"/>
      <c r="E3" s="5" t="s">
        <v>880</v>
      </c>
      <c r="F3" s="5" t="s">
        <v>32</v>
      </c>
      <c r="G3" s="5" t="s">
        <v>2670</v>
      </c>
    </row>
    <row r="4" spans="1:7">
      <c r="A4" s="5" t="s">
        <v>2734</v>
      </c>
      <c r="B4" s="5" t="s">
        <v>1582</v>
      </c>
      <c r="C4" s="5"/>
      <c r="D4" s="5"/>
      <c r="E4" s="5" t="s">
        <v>807</v>
      </c>
      <c r="F4" s="5" t="s">
        <v>32</v>
      </c>
      <c r="G4" s="5" t="s">
        <v>2676</v>
      </c>
    </row>
    <row r="5" spans="1:7">
      <c r="A5" s="5" t="s">
        <v>2735</v>
      </c>
      <c r="B5" s="5" t="s">
        <v>1582</v>
      </c>
      <c r="C5" s="5"/>
      <c r="D5" s="5"/>
      <c r="E5" s="5" t="s">
        <v>1584</v>
      </c>
      <c r="F5" s="5" t="s">
        <v>32</v>
      </c>
      <c r="G5" s="5" t="s">
        <v>2677</v>
      </c>
    </row>
    <row r="6" spans="1:7">
      <c r="A6" s="5" t="s">
        <v>2736</v>
      </c>
      <c r="B6" s="5" t="s">
        <v>1582</v>
      </c>
      <c r="C6" s="5"/>
      <c r="D6" s="5"/>
      <c r="E6" s="5" t="s">
        <v>48</v>
      </c>
      <c r="F6" s="5" t="s">
        <v>32</v>
      </c>
      <c r="G6" s="5" t="s">
        <v>2665</v>
      </c>
    </row>
    <row r="7" spans="1:7">
      <c r="A7" s="5" t="s">
        <v>2737</v>
      </c>
      <c r="B7" s="5" t="s">
        <v>1582</v>
      </c>
      <c r="C7" s="5"/>
      <c r="D7" s="5"/>
      <c r="E7" s="5" t="s">
        <v>890</v>
      </c>
      <c r="F7" s="5" t="s">
        <v>32</v>
      </c>
      <c r="G7" s="5" t="s">
        <v>2671</v>
      </c>
    </row>
    <row r="8" spans="1:7">
      <c r="A8" s="5" t="s">
        <v>2738</v>
      </c>
      <c r="B8" s="5" t="s">
        <v>1582</v>
      </c>
      <c r="C8" s="5"/>
      <c r="D8" s="5"/>
      <c r="E8" s="5" t="s">
        <v>36</v>
      </c>
      <c r="F8" s="5" t="s">
        <v>32</v>
      </c>
      <c r="G8" s="5" t="s">
        <v>2663</v>
      </c>
    </row>
    <row r="9" spans="1:7">
      <c r="A9" s="5" t="s">
        <v>2739</v>
      </c>
      <c r="B9" s="5" t="s">
        <v>1582</v>
      </c>
      <c r="C9" s="5"/>
      <c r="D9" s="5"/>
      <c r="E9" s="5" t="s">
        <v>1586</v>
      </c>
      <c r="F9" s="5" t="s">
        <v>32</v>
      </c>
      <c r="G9" s="5" t="s">
        <v>2678</v>
      </c>
    </row>
    <row r="10" spans="1:7">
      <c r="A10" s="5" t="s">
        <v>2740</v>
      </c>
      <c r="B10" s="5" t="s">
        <v>1582</v>
      </c>
      <c r="C10" s="5"/>
      <c r="D10" s="5"/>
      <c r="E10" s="5" t="s">
        <v>930</v>
      </c>
      <c r="F10" s="5" t="s">
        <v>32</v>
      </c>
      <c r="G10" s="5" t="s">
        <v>2672</v>
      </c>
    </row>
    <row r="11" spans="1:7">
      <c r="A11" s="5" t="s">
        <v>2741</v>
      </c>
      <c r="B11" s="5" t="s">
        <v>1582</v>
      </c>
      <c r="C11" s="5"/>
      <c r="D11" s="5"/>
      <c r="E11" s="5" t="s">
        <v>66</v>
      </c>
      <c r="F11" s="5" t="s">
        <v>32</v>
      </c>
      <c r="G11" s="5" t="s">
        <v>2666</v>
      </c>
    </row>
    <row r="12" spans="1:7">
      <c r="A12" s="5" t="s">
        <v>2742</v>
      </c>
      <c r="B12" s="5" t="s">
        <v>1582</v>
      </c>
      <c r="C12" s="5"/>
      <c r="D12" s="5"/>
      <c r="E12" s="5" t="s">
        <v>42</v>
      </c>
      <c r="F12" s="5" t="s">
        <v>32</v>
      </c>
      <c r="G12" s="5" t="s">
        <v>2664</v>
      </c>
    </row>
    <row r="13" spans="1:7">
      <c r="A13" s="5" t="s">
        <v>2743</v>
      </c>
      <c r="B13" s="5" t="s">
        <v>1582</v>
      </c>
      <c r="C13" s="5"/>
      <c r="D13" s="5"/>
      <c r="E13" s="5" t="s">
        <v>1587</v>
      </c>
      <c r="F13" s="5" t="s">
        <v>32</v>
      </c>
      <c r="G13" s="5" t="s">
        <v>2679</v>
      </c>
    </row>
    <row r="14" spans="1:7">
      <c r="A14" s="5" t="s">
        <v>2744</v>
      </c>
      <c r="B14" s="5" t="s">
        <v>1582</v>
      </c>
      <c r="C14" s="5"/>
      <c r="D14" s="5"/>
      <c r="E14" s="5" t="s">
        <v>1588</v>
      </c>
      <c r="F14" s="5" t="s">
        <v>32</v>
      </c>
      <c r="G14" s="5" t="s">
        <v>2680</v>
      </c>
    </row>
    <row r="15" spans="1:7">
      <c r="A15" s="5" t="s">
        <v>2745</v>
      </c>
      <c r="B15" s="5" t="s">
        <v>1582</v>
      </c>
      <c r="C15" s="5"/>
      <c r="D15" s="5"/>
      <c r="E15" s="5" t="s">
        <v>1589</v>
      </c>
      <c r="F15" s="5" t="s">
        <v>32</v>
      </c>
      <c r="G15" s="5" t="s">
        <v>2681</v>
      </c>
    </row>
    <row r="16" spans="1:7">
      <c r="A16" s="5" t="s">
        <v>2746</v>
      </c>
      <c r="B16" s="5" t="s">
        <v>1582</v>
      </c>
      <c r="C16" s="5"/>
      <c r="D16" s="5"/>
      <c r="E16" s="5" t="s">
        <v>1590</v>
      </c>
      <c r="F16" s="5" t="s">
        <v>32</v>
      </c>
      <c r="G16" s="5" t="s">
        <v>2682</v>
      </c>
    </row>
    <row r="17" spans="1:7">
      <c r="A17" s="5" t="s">
        <v>2747</v>
      </c>
      <c r="B17" s="5" t="s">
        <v>1582</v>
      </c>
      <c r="C17" s="5"/>
      <c r="D17" s="5"/>
      <c r="E17" s="5" t="s">
        <v>1591</v>
      </c>
      <c r="F17" s="5" t="s">
        <v>32</v>
      </c>
      <c r="G17" s="5" t="s">
        <v>2683</v>
      </c>
    </row>
    <row r="18" spans="1:7">
      <c r="A18" s="5" t="s">
        <v>2748</v>
      </c>
      <c r="B18" s="5" t="s">
        <v>1582</v>
      </c>
      <c r="C18" s="5"/>
      <c r="D18" s="5"/>
      <c r="E18" s="5" t="s">
        <v>1015</v>
      </c>
      <c r="F18" s="5" t="s">
        <v>32</v>
      </c>
      <c r="G18" s="5" t="s">
        <v>2674</v>
      </c>
    </row>
    <row r="19" spans="1:7">
      <c r="A19" s="5" t="s">
        <v>2749</v>
      </c>
      <c r="B19" s="5" t="s">
        <v>1582</v>
      </c>
      <c r="C19" s="5"/>
      <c r="D19" s="5"/>
      <c r="E19" s="5" t="s">
        <v>1592</v>
      </c>
      <c r="F19" s="5" t="s">
        <v>32</v>
      </c>
      <c r="G19" s="5" t="s">
        <v>2684</v>
      </c>
    </row>
    <row r="20" spans="1:7">
      <c r="A20" s="5" t="s">
        <v>2750</v>
      </c>
      <c r="B20" s="5" t="s">
        <v>1582</v>
      </c>
      <c r="C20" s="5"/>
      <c r="D20" s="5"/>
      <c r="E20" s="5" t="s">
        <v>31</v>
      </c>
      <c r="F20" s="5" t="s">
        <v>32</v>
      </c>
      <c r="G20" s="5" t="s">
        <v>2662</v>
      </c>
    </row>
    <row r="21" spans="1:7">
      <c r="A21" s="5" t="s">
        <v>2751</v>
      </c>
      <c r="B21" s="12" t="s">
        <v>1582</v>
      </c>
      <c r="C21" s="12"/>
      <c r="D21" s="12"/>
      <c r="E21" s="12" t="s">
        <v>1828</v>
      </c>
      <c r="F21" s="12" t="s">
        <v>32</v>
      </c>
      <c r="G21" s="12" t="s">
        <v>1829</v>
      </c>
    </row>
    <row r="22" spans="1:7">
      <c r="A22" s="5" t="s">
        <v>2752</v>
      </c>
      <c r="B22" s="12" t="s">
        <v>1582</v>
      </c>
      <c r="C22" s="12"/>
      <c r="D22" s="12"/>
      <c r="E22" s="12" t="s">
        <v>1583</v>
      </c>
      <c r="F22" s="12" t="s">
        <v>32</v>
      </c>
      <c r="G22" s="12" t="s">
        <v>1739</v>
      </c>
    </row>
    <row r="23" spans="1:7">
      <c r="A23" s="5" t="s">
        <v>2753</v>
      </c>
      <c r="B23" s="12" t="s">
        <v>1582</v>
      </c>
      <c r="C23" s="12"/>
      <c r="D23" s="12"/>
      <c r="E23" s="12" t="s">
        <v>36</v>
      </c>
      <c r="F23" s="12" t="s">
        <v>32</v>
      </c>
      <c r="G23" s="12" t="s">
        <v>1740</v>
      </c>
    </row>
    <row r="24" spans="1:7">
      <c r="A24" s="5" t="s">
        <v>2754</v>
      </c>
      <c r="B24" s="12" t="s">
        <v>1582</v>
      </c>
      <c r="C24" s="12"/>
      <c r="D24" s="12"/>
      <c r="E24" s="12" t="s">
        <v>807</v>
      </c>
      <c r="F24" s="12" t="s">
        <v>32</v>
      </c>
      <c r="G24" s="12" t="s">
        <v>1741</v>
      </c>
    </row>
    <row r="25" spans="1:7">
      <c r="A25" s="5" t="s">
        <v>2755</v>
      </c>
      <c r="B25" s="12" t="s">
        <v>1582</v>
      </c>
      <c r="C25" s="12"/>
      <c r="D25" s="12"/>
      <c r="E25" s="12" t="s">
        <v>1742</v>
      </c>
      <c r="F25" s="12" t="s">
        <v>32</v>
      </c>
      <c r="G25" s="12" t="s">
        <v>1743</v>
      </c>
    </row>
    <row r="26" spans="1:7">
      <c r="A26" s="5" t="s">
        <v>2756</v>
      </c>
      <c r="B26" s="12" t="s">
        <v>1582</v>
      </c>
      <c r="C26" s="12"/>
      <c r="D26" s="12"/>
      <c r="E26" s="12" t="s">
        <v>1744</v>
      </c>
      <c r="F26" s="12" t="s">
        <v>32</v>
      </c>
      <c r="G26" s="12" t="s">
        <v>1745</v>
      </c>
    </row>
    <row r="27" spans="1:7">
      <c r="A27" s="5" t="s">
        <v>2757</v>
      </c>
      <c r="B27" s="12" t="s">
        <v>1582</v>
      </c>
      <c r="C27" s="12"/>
      <c r="D27" s="12"/>
      <c r="E27" s="12" t="s">
        <v>1746</v>
      </c>
      <c r="F27" s="12" t="s">
        <v>32</v>
      </c>
      <c r="G27" s="12" t="s">
        <v>1747</v>
      </c>
    </row>
    <row r="28" spans="1:7">
      <c r="A28" s="5" t="s">
        <v>2758</v>
      </c>
      <c r="B28" s="12" t="s">
        <v>1582</v>
      </c>
      <c r="C28" s="12"/>
      <c r="D28" s="12"/>
      <c r="E28" s="12" t="s">
        <v>1748</v>
      </c>
      <c r="F28" s="12" t="s">
        <v>32</v>
      </c>
      <c r="G28" s="12" t="s">
        <v>1749</v>
      </c>
    </row>
    <row r="29" spans="1:7">
      <c r="A29" s="5" t="s">
        <v>2759</v>
      </c>
      <c r="B29" s="12" t="s">
        <v>1582</v>
      </c>
      <c r="C29" s="12"/>
      <c r="D29" s="12"/>
      <c r="E29" s="12" t="s">
        <v>1750</v>
      </c>
      <c r="F29" s="12" t="s">
        <v>32</v>
      </c>
      <c r="G29" s="12" t="s">
        <v>1751</v>
      </c>
    </row>
    <row r="30" spans="1:7">
      <c r="A30" s="5" t="s">
        <v>2760</v>
      </c>
      <c r="B30" s="12" t="s">
        <v>1582</v>
      </c>
      <c r="C30" s="12"/>
      <c r="D30" s="12"/>
      <c r="E30" s="12" t="s">
        <v>1015</v>
      </c>
      <c r="F30" s="12" t="s">
        <v>32</v>
      </c>
      <c r="G30" s="12" t="s">
        <v>1752</v>
      </c>
    </row>
    <row r="31" spans="1:7">
      <c r="A31" s="5" t="s">
        <v>2761</v>
      </c>
      <c r="B31" s="12" t="s">
        <v>1582</v>
      </c>
      <c r="C31" s="12"/>
      <c r="D31" s="12"/>
      <c r="E31" s="12" t="s">
        <v>48</v>
      </c>
      <c r="F31" s="12" t="s">
        <v>32</v>
      </c>
      <c r="G31" s="12" t="s">
        <v>1753</v>
      </c>
    </row>
    <row r="32" spans="1:7">
      <c r="A32" s="5" t="s">
        <v>2762</v>
      </c>
      <c r="B32" s="12" t="s">
        <v>1582</v>
      </c>
      <c r="C32" s="12"/>
      <c r="D32" s="12"/>
      <c r="E32" s="12" t="s">
        <v>1754</v>
      </c>
      <c r="F32" s="12" t="s">
        <v>32</v>
      </c>
      <c r="G32" s="12" t="s">
        <v>1755</v>
      </c>
    </row>
    <row r="33" spans="1:7">
      <c r="A33" s="5" t="s">
        <v>2763</v>
      </c>
      <c r="B33" s="12" t="s">
        <v>1582</v>
      </c>
      <c r="C33" s="12"/>
      <c r="D33" s="12"/>
      <c r="E33" s="12" t="s">
        <v>42</v>
      </c>
      <c r="F33" s="12" t="s">
        <v>32</v>
      </c>
      <c r="G33" s="12" t="s">
        <v>1756</v>
      </c>
    </row>
    <row r="34" spans="1:7">
      <c r="A34" s="5" t="s">
        <v>2764</v>
      </c>
      <c r="B34" s="12" t="s">
        <v>1582</v>
      </c>
      <c r="C34" s="12"/>
      <c r="D34" s="12"/>
      <c r="E34" s="12" t="s">
        <v>930</v>
      </c>
      <c r="F34" s="12" t="s">
        <v>32</v>
      </c>
      <c r="G34" s="12" t="s">
        <v>1757</v>
      </c>
    </row>
    <row r="35" spans="1:7">
      <c r="A35" s="5" t="s">
        <v>2765</v>
      </c>
      <c r="B35" s="12" t="s">
        <v>1582</v>
      </c>
      <c r="C35" s="12"/>
      <c r="D35" s="12"/>
      <c r="E35" s="12" t="s">
        <v>1588</v>
      </c>
      <c r="F35" s="12" t="s">
        <v>32</v>
      </c>
      <c r="G35" s="12" t="s">
        <v>1758</v>
      </c>
    </row>
    <row r="36" spans="1:7">
      <c r="A36" s="5" t="s">
        <v>2766</v>
      </c>
      <c r="B36" s="12" t="s">
        <v>1582</v>
      </c>
      <c r="C36" s="12"/>
      <c r="D36" s="12"/>
      <c r="E36" s="12" t="s">
        <v>66</v>
      </c>
      <c r="F36" s="12" t="s">
        <v>32</v>
      </c>
      <c r="G36" s="12" t="s">
        <v>1759</v>
      </c>
    </row>
    <row r="37" spans="1:7">
      <c r="A37" s="5" t="s">
        <v>2767</v>
      </c>
      <c r="B37" s="12" t="s">
        <v>1582</v>
      </c>
      <c r="C37" s="12"/>
      <c r="D37" s="12"/>
      <c r="E37" s="12" t="s">
        <v>1760</v>
      </c>
      <c r="F37" s="12" t="s">
        <v>32</v>
      </c>
      <c r="G37" s="12" t="s">
        <v>1761</v>
      </c>
    </row>
    <row r="38" spans="1:7">
      <c r="A38" s="5" t="s">
        <v>2768</v>
      </c>
      <c r="B38" s="12" t="s">
        <v>1582</v>
      </c>
      <c r="C38" s="12"/>
      <c r="D38" s="12"/>
      <c r="E38" s="12" t="s">
        <v>1586</v>
      </c>
      <c r="F38" s="12" t="s">
        <v>32</v>
      </c>
      <c r="G38" s="12" t="s">
        <v>1762</v>
      </c>
    </row>
    <row r="39" spans="1:7">
      <c r="A39" s="5" t="s">
        <v>2769</v>
      </c>
      <c r="B39" s="12" t="s">
        <v>1582</v>
      </c>
      <c r="C39" s="12"/>
      <c r="D39" s="12"/>
      <c r="E39" s="12" t="s">
        <v>31</v>
      </c>
      <c r="F39" s="12" t="s">
        <v>32</v>
      </c>
      <c r="G39" s="12" t="s">
        <v>1763</v>
      </c>
    </row>
    <row r="40" spans="1:7">
      <c r="A40" s="5" t="s">
        <v>2770</v>
      </c>
      <c r="B40" s="12" t="s">
        <v>1582</v>
      </c>
      <c r="C40" s="12"/>
      <c r="D40" s="12"/>
      <c r="E40" s="12" t="s">
        <v>1600</v>
      </c>
      <c r="F40" s="12" t="s">
        <v>32</v>
      </c>
      <c r="G40" s="12" t="s">
        <v>1764</v>
      </c>
    </row>
    <row r="41" spans="1:7">
      <c r="A41" s="5" t="s">
        <v>2771</v>
      </c>
      <c r="B41" s="12" t="s">
        <v>1582</v>
      </c>
      <c r="C41" s="12"/>
      <c r="D41" s="12"/>
      <c r="E41" s="12" t="s">
        <v>880</v>
      </c>
      <c r="F41" s="12" t="s">
        <v>32</v>
      </c>
      <c r="G41" s="12" t="s">
        <v>1765</v>
      </c>
    </row>
    <row r="42" spans="1:7">
      <c r="A42" s="5" t="s">
        <v>2772</v>
      </c>
      <c r="B42" s="12" t="s">
        <v>1582</v>
      </c>
      <c r="C42" s="12"/>
      <c r="D42" s="12"/>
      <c r="E42" s="12" t="s">
        <v>1585</v>
      </c>
      <c r="F42" s="12" t="s">
        <v>32</v>
      </c>
      <c r="G42" s="12" t="s">
        <v>1766</v>
      </c>
    </row>
    <row r="43" spans="1:7">
      <c r="A43" s="5" t="s">
        <v>2773</v>
      </c>
      <c r="B43" s="12" t="s">
        <v>1582</v>
      </c>
      <c r="C43" s="12"/>
      <c r="D43" s="12"/>
      <c r="E43" s="12" t="s">
        <v>1590</v>
      </c>
      <c r="F43" s="12" t="s">
        <v>32</v>
      </c>
      <c r="G43" s="12" t="s">
        <v>1767</v>
      </c>
    </row>
    <row r="44" spans="1:7">
      <c r="A44" s="5" t="s">
        <v>2774</v>
      </c>
      <c r="B44" s="12" t="s">
        <v>1582</v>
      </c>
      <c r="C44" s="12"/>
      <c r="D44" s="12"/>
      <c r="E44" s="12" t="s">
        <v>1768</v>
      </c>
      <c r="F44" s="12" t="s">
        <v>32</v>
      </c>
      <c r="G44" s="12" t="s">
        <v>1769</v>
      </c>
    </row>
    <row r="45" spans="1:7">
      <c r="A45" s="5" t="s">
        <v>2775</v>
      </c>
      <c r="B45" s="12" t="s">
        <v>1582</v>
      </c>
      <c r="C45" s="12"/>
      <c r="D45" s="12"/>
      <c r="E45" s="12" t="s">
        <v>1770</v>
      </c>
      <c r="F45" s="12" t="s">
        <v>32</v>
      </c>
      <c r="G45" s="12" t="s">
        <v>1771</v>
      </c>
    </row>
    <row r="46" spans="1:7">
      <c r="A46" s="5" t="s">
        <v>2776</v>
      </c>
      <c r="B46" s="12" t="s">
        <v>1582</v>
      </c>
      <c r="C46" s="12"/>
      <c r="D46" s="12"/>
      <c r="E46" s="12" t="s">
        <v>1772</v>
      </c>
      <c r="F46" s="12" t="s">
        <v>32</v>
      </c>
      <c r="G46" s="12" t="s">
        <v>1773</v>
      </c>
    </row>
    <row r="47" spans="1:7">
      <c r="A47" s="23" t="s">
        <v>2777</v>
      </c>
      <c r="B47" s="6" t="s">
        <v>1582</v>
      </c>
      <c r="C47" s="6"/>
      <c r="D47" s="6"/>
      <c r="E47" s="6" t="s">
        <v>1585</v>
      </c>
      <c r="F47" s="6" t="s">
        <v>32</v>
      </c>
      <c r="G47" s="6" t="s">
        <v>2712</v>
      </c>
    </row>
    <row r="48" spans="1:7">
      <c r="A48" s="23" t="s">
        <v>2778</v>
      </c>
      <c r="B48" s="6" t="s">
        <v>1582</v>
      </c>
      <c r="C48" s="6"/>
      <c r="D48" s="6"/>
      <c r="E48" s="6" t="s">
        <v>940</v>
      </c>
      <c r="F48" s="6" t="s">
        <v>32</v>
      </c>
      <c r="G48" s="6" t="s">
        <v>2673</v>
      </c>
    </row>
    <row r="49" spans="1:7">
      <c r="A49" s="11" t="s">
        <v>2779</v>
      </c>
      <c r="B49" s="7" t="s">
        <v>1582</v>
      </c>
      <c r="C49" s="7"/>
      <c r="D49" s="7"/>
      <c r="E49" s="7" t="s">
        <v>1774</v>
      </c>
      <c r="F49" s="7" t="s">
        <v>32</v>
      </c>
      <c r="G49" s="7" t="s">
        <v>1775</v>
      </c>
    </row>
    <row r="50" spans="1:7">
      <c r="A50" s="11" t="s">
        <v>2780</v>
      </c>
      <c r="B50" s="7" t="s">
        <v>1582</v>
      </c>
      <c r="C50" s="7"/>
      <c r="D50" s="7"/>
      <c r="E50" s="7" t="s">
        <v>890</v>
      </c>
      <c r="F50" s="7" t="s">
        <v>32</v>
      </c>
      <c r="G50" s="7" t="s">
        <v>1776</v>
      </c>
    </row>
    <row r="51" spans="1:7">
      <c r="A51" s="11" t="s">
        <v>2781</v>
      </c>
      <c r="B51" s="7" t="s">
        <v>1582</v>
      </c>
      <c r="C51" s="7"/>
      <c r="D51" s="7"/>
      <c r="E51" s="7" t="s">
        <v>940</v>
      </c>
      <c r="F51" s="7" t="s">
        <v>32</v>
      </c>
      <c r="G51" s="7" t="s">
        <v>1778</v>
      </c>
    </row>
    <row r="52" spans="1:7">
      <c r="A52" s="11" t="s">
        <v>2782</v>
      </c>
      <c r="B52" s="9" t="s">
        <v>1582</v>
      </c>
      <c r="C52" s="9"/>
      <c r="D52" s="9"/>
      <c r="E52" s="9" t="s">
        <v>1591</v>
      </c>
      <c r="F52" s="9" t="s">
        <v>32</v>
      </c>
      <c r="G52" s="9" t="s">
        <v>1779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D8" sqref="D8"/>
    </sheetView>
  </sheetViews>
  <sheetFormatPr defaultRowHeight="15"/>
  <cols>
    <col min="3" max="3" width="10.5703125" customWidth="1"/>
    <col min="4" max="4" width="10.28515625" customWidth="1"/>
    <col min="6" max="6" width="10.28515625" customWidth="1"/>
  </cols>
  <sheetData>
    <row r="1" spans="1:8">
      <c r="A1" s="14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5" t="s">
        <v>13</v>
      </c>
    </row>
    <row r="2" spans="1:8">
      <c r="A2" s="20" t="s">
        <v>7</v>
      </c>
      <c r="B2" s="12" t="s">
        <v>1847</v>
      </c>
      <c r="C2" s="12" t="s">
        <v>1848</v>
      </c>
      <c r="D2" s="12" t="s">
        <v>1838</v>
      </c>
      <c r="E2" s="12"/>
      <c r="F2" s="12"/>
      <c r="G2" s="12" t="s">
        <v>1850</v>
      </c>
      <c r="H2" s="22"/>
    </row>
    <row r="3" spans="1:8">
      <c r="A3" s="20" t="s">
        <v>9</v>
      </c>
      <c r="B3" s="12" t="s">
        <v>1847</v>
      </c>
      <c r="C3" s="12" t="s">
        <v>1848</v>
      </c>
      <c r="D3" s="12" t="s">
        <v>1834</v>
      </c>
      <c r="E3" s="12"/>
      <c r="F3" s="12"/>
      <c r="G3" s="12" t="s">
        <v>1850</v>
      </c>
      <c r="H3" s="22"/>
    </row>
    <row r="4" spans="1:8">
      <c r="A4" s="20" t="s">
        <v>10</v>
      </c>
      <c r="B4" s="1" t="s">
        <v>1847</v>
      </c>
      <c r="C4" s="1" t="s">
        <v>1848</v>
      </c>
      <c r="D4" s="1" t="s">
        <v>1849</v>
      </c>
      <c r="E4" s="1"/>
      <c r="F4" s="1"/>
      <c r="G4" s="1" t="s">
        <v>1850</v>
      </c>
      <c r="H4" s="1"/>
    </row>
    <row r="5" spans="1:8">
      <c r="A5" s="20" t="s">
        <v>12</v>
      </c>
      <c r="B5" s="1" t="s">
        <v>1847</v>
      </c>
      <c r="C5" s="1" t="s">
        <v>1851</v>
      </c>
      <c r="D5" s="1" t="s">
        <v>1852</v>
      </c>
      <c r="E5" s="1"/>
      <c r="F5" s="1"/>
      <c r="G5" s="1" t="s">
        <v>3038</v>
      </c>
      <c r="H5" s="1" t="s">
        <v>1853</v>
      </c>
    </row>
    <row r="6" spans="1:8">
      <c r="A6" s="20" t="s">
        <v>28</v>
      </c>
      <c r="B6" s="1" t="s">
        <v>1847</v>
      </c>
      <c r="C6" s="1" t="s">
        <v>1854</v>
      </c>
      <c r="D6" s="1" t="s">
        <v>1855</v>
      </c>
      <c r="E6" s="1"/>
      <c r="F6" s="1"/>
      <c r="G6" s="1" t="s">
        <v>3039</v>
      </c>
      <c r="H6" s="1" t="s">
        <v>1856</v>
      </c>
    </row>
    <row r="7" spans="1:8">
      <c r="A7" s="20" t="s">
        <v>34</v>
      </c>
      <c r="B7" s="1" t="s">
        <v>1847</v>
      </c>
      <c r="C7" s="1" t="s">
        <v>1851</v>
      </c>
      <c r="D7" s="1" t="s">
        <v>1857</v>
      </c>
      <c r="E7" s="1"/>
      <c r="F7" s="1"/>
      <c r="G7" s="1" t="s">
        <v>3038</v>
      </c>
      <c r="H7" s="1" t="s">
        <v>1853</v>
      </c>
    </row>
    <row r="8" spans="1:8">
      <c r="A8" s="24" t="s">
        <v>38</v>
      </c>
      <c r="B8" s="21" t="s">
        <v>1832</v>
      </c>
      <c r="C8" s="21" t="s">
        <v>1833</v>
      </c>
      <c r="D8" s="21" t="s">
        <v>1834</v>
      </c>
      <c r="E8" s="21" t="s">
        <v>1835</v>
      </c>
      <c r="F8" s="21"/>
      <c r="G8" s="21" t="s">
        <v>1836</v>
      </c>
      <c r="H8" s="21"/>
    </row>
    <row r="9" spans="1:8">
      <c r="A9" s="24" t="s">
        <v>40</v>
      </c>
      <c r="B9" s="21" t="s">
        <v>1832</v>
      </c>
      <c r="C9" s="21" t="s">
        <v>1837</v>
      </c>
      <c r="D9" s="21" t="s">
        <v>1838</v>
      </c>
      <c r="E9" s="21" t="s">
        <v>1835</v>
      </c>
      <c r="F9" s="21"/>
      <c r="G9" s="21" t="s">
        <v>1836</v>
      </c>
      <c r="H9" s="2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E4" sqref="E4"/>
    </sheetView>
  </sheetViews>
  <sheetFormatPr defaultRowHeight="15"/>
  <cols>
    <col min="3" max="3" width="10.5703125" customWidth="1"/>
    <col min="4" max="4" width="10.28515625" customWidth="1"/>
    <col min="6" max="6" width="10.28515625" customWidth="1"/>
  </cols>
  <sheetData>
    <row r="1" spans="1:7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</row>
    <row r="2" spans="1:7">
      <c r="A2" s="5" t="s">
        <v>7</v>
      </c>
      <c r="B2" s="5" t="s">
        <v>1830</v>
      </c>
      <c r="C2" s="5" t="s">
        <v>8</v>
      </c>
      <c r="D2" s="5" t="s">
        <v>42</v>
      </c>
      <c r="E2" s="5" t="s">
        <v>32</v>
      </c>
      <c r="F2" s="5" t="s">
        <v>2716</v>
      </c>
      <c r="G2" s="5" t="s">
        <v>43</v>
      </c>
    </row>
    <row r="3" spans="1:7">
      <c r="A3" s="5" t="s">
        <v>9</v>
      </c>
      <c r="B3" s="5" t="s">
        <v>1830</v>
      </c>
      <c r="C3" s="5" t="s">
        <v>76</v>
      </c>
      <c r="D3" s="5" t="s">
        <v>8</v>
      </c>
      <c r="E3" s="5" t="s">
        <v>77</v>
      </c>
      <c r="F3" s="5" t="s">
        <v>32</v>
      </c>
      <c r="G3" s="5" t="s">
        <v>2717</v>
      </c>
    </row>
    <row r="4" spans="1:7">
      <c r="A4" s="5" t="s">
        <v>10</v>
      </c>
      <c r="B4" s="5" t="s">
        <v>1830</v>
      </c>
      <c r="C4" s="5" t="s">
        <v>79</v>
      </c>
      <c r="D4" s="5" t="s">
        <v>8</v>
      </c>
      <c r="E4" s="5" t="s">
        <v>77</v>
      </c>
      <c r="F4" s="5" t="s">
        <v>32</v>
      </c>
      <c r="G4" s="5" t="s">
        <v>2717</v>
      </c>
    </row>
    <row r="5" spans="1:7">
      <c r="A5" s="5" t="s">
        <v>12</v>
      </c>
      <c r="B5" s="5" t="s">
        <v>1830</v>
      </c>
      <c r="C5" s="5" t="s">
        <v>74</v>
      </c>
      <c r="D5" s="5" t="s">
        <v>8</v>
      </c>
      <c r="E5" s="5" t="s">
        <v>42</v>
      </c>
      <c r="F5" s="5" t="s">
        <v>32</v>
      </c>
      <c r="G5" s="5" t="s">
        <v>2716</v>
      </c>
    </row>
    <row r="6" spans="1:7">
      <c r="A6" s="5" t="s">
        <v>28</v>
      </c>
      <c r="B6" s="5" t="s">
        <v>1830</v>
      </c>
      <c r="C6" s="5" t="s">
        <v>868</v>
      </c>
      <c r="D6" s="5" t="s">
        <v>8</v>
      </c>
      <c r="E6" s="5" t="s">
        <v>42</v>
      </c>
      <c r="F6" s="5" t="s">
        <v>32</v>
      </c>
      <c r="G6" s="5" t="s">
        <v>2716</v>
      </c>
    </row>
    <row r="7" spans="1:7">
      <c r="A7" s="5" t="s">
        <v>34</v>
      </c>
      <c r="B7" s="5" t="s">
        <v>1830</v>
      </c>
      <c r="C7" s="5" t="s">
        <v>870</v>
      </c>
      <c r="D7" s="5" t="s">
        <v>871</v>
      </c>
      <c r="E7" s="5" t="s">
        <v>77</v>
      </c>
      <c r="F7" s="5" t="s">
        <v>32</v>
      </c>
      <c r="G7" s="5" t="s">
        <v>2717</v>
      </c>
    </row>
    <row r="8" spans="1:7">
      <c r="A8" s="5" t="s">
        <v>38</v>
      </c>
      <c r="B8" s="5" t="s">
        <v>1830</v>
      </c>
      <c r="C8" s="5" t="s">
        <v>873</v>
      </c>
      <c r="D8" s="5" t="s">
        <v>871</v>
      </c>
      <c r="E8" s="5" t="s">
        <v>77</v>
      </c>
      <c r="F8" s="5" t="s">
        <v>32</v>
      </c>
      <c r="G8" s="5" t="s">
        <v>2717</v>
      </c>
    </row>
    <row r="9" spans="1:7">
      <c r="A9" s="5" t="s">
        <v>40</v>
      </c>
      <c r="B9" s="5" t="s">
        <v>1830</v>
      </c>
      <c r="C9" s="5" t="s">
        <v>868</v>
      </c>
      <c r="D9" s="5"/>
      <c r="E9" s="5" t="s">
        <v>218</v>
      </c>
      <c r="F9" s="5" t="s">
        <v>219</v>
      </c>
      <c r="G9" s="5" t="s">
        <v>2718</v>
      </c>
    </row>
    <row r="10" spans="1:7">
      <c r="A10" s="11" t="s">
        <v>44</v>
      </c>
      <c r="B10" s="7" t="s">
        <v>1830</v>
      </c>
      <c r="C10" s="7"/>
      <c r="D10" s="7" t="s">
        <v>218</v>
      </c>
      <c r="E10" s="7" t="s">
        <v>218</v>
      </c>
      <c r="F10" s="7" t="s">
        <v>219</v>
      </c>
      <c r="G10" s="7" t="s">
        <v>1623</v>
      </c>
    </row>
    <row r="11" spans="1:7">
      <c r="A11" s="11" t="s">
        <v>46</v>
      </c>
      <c r="B11" s="7" t="s">
        <v>1830</v>
      </c>
      <c r="C11" s="7"/>
      <c r="D11" s="7" t="s">
        <v>8</v>
      </c>
      <c r="E11" s="7" t="s">
        <v>77</v>
      </c>
      <c r="F11" s="7" t="s">
        <v>32</v>
      </c>
      <c r="G11" s="7" t="s">
        <v>1831</v>
      </c>
    </row>
    <row r="12" spans="1:7">
      <c r="A12" s="11" t="s">
        <v>50</v>
      </c>
      <c r="B12" s="7" t="s">
        <v>1830</v>
      </c>
      <c r="C12" s="7"/>
      <c r="D12" s="7" t="s">
        <v>8</v>
      </c>
      <c r="E12" s="7" t="s">
        <v>42</v>
      </c>
      <c r="F12" s="7" t="s">
        <v>32</v>
      </c>
      <c r="G12" s="7" t="s">
        <v>1756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73"/>
  <sheetViews>
    <sheetView workbookViewId="0">
      <selection activeCell="E22" sqref="E22"/>
    </sheetView>
  </sheetViews>
  <sheetFormatPr defaultRowHeight="15"/>
  <cols>
    <col min="3" max="3" width="10.5703125" customWidth="1"/>
    <col min="4" max="4" width="10.28515625" customWidth="1"/>
    <col min="6" max="6" width="10.28515625" customWidth="1"/>
  </cols>
  <sheetData>
    <row r="1" spans="1:7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</row>
    <row r="2" spans="1:7">
      <c r="A2" s="5" t="s">
        <v>2732</v>
      </c>
      <c r="B2" s="5" t="s">
        <v>876</v>
      </c>
      <c r="C2" s="5"/>
      <c r="D2" s="5" t="s">
        <v>877</v>
      </c>
      <c r="E2" s="5" t="s">
        <v>66</v>
      </c>
      <c r="F2" s="5" t="s">
        <v>32</v>
      </c>
      <c r="G2" s="5" t="s">
        <v>2719</v>
      </c>
    </row>
    <row r="3" spans="1:7">
      <c r="A3" s="5" t="s">
        <v>2733</v>
      </c>
      <c r="B3" s="5" t="s">
        <v>876</v>
      </c>
      <c r="C3" s="5"/>
      <c r="D3" s="5" t="s">
        <v>879</v>
      </c>
      <c r="E3" s="5" t="s">
        <v>880</v>
      </c>
      <c r="F3" s="5" t="s">
        <v>32</v>
      </c>
      <c r="G3" s="5" t="s">
        <v>2720</v>
      </c>
    </row>
    <row r="4" spans="1:7">
      <c r="A4" s="5" t="s">
        <v>2734</v>
      </c>
      <c r="B4" s="5" t="s">
        <v>876</v>
      </c>
      <c r="C4" s="5"/>
      <c r="D4" s="5" t="s">
        <v>882</v>
      </c>
      <c r="E4" s="5" t="s">
        <v>66</v>
      </c>
      <c r="F4" s="5" t="s">
        <v>32</v>
      </c>
      <c r="G4" s="5" t="s">
        <v>2719</v>
      </c>
    </row>
    <row r="5" spans="1:7">
      <c r="A5" s="5" t="s">
        <v>2735</v>
      </c>
      <c r="B5" s="5" t="s">
        <v>876</v>
      </c>
      <c r="C5" s="5"/>
      <c r="D5" s="5" t="s">
        <v>884</v>
      </c>
      <c r="E5" s="5" t="s">
        <v>31</v>
      </c>
      <c r="F5" s="5" t="s">
        <v>32</v>
      </c>
      <c r="G5" s="5" t="s">
        <v>2721</v>
      </c>
    </row>
    <row r="6" spans="1:7">
      <c r="A6" s="5" t="s">
        <v>2736</v>
      </c>
      <c r="B6" s="5" t="s">
        <v>876</v>
      </c>
      <c r="C6" s="5"/>
      <c r="D6" s="5" t="s">
        <v>886</v>
      </c>
      <c r="E6" s="5" t="s">
        <v>66</v>
      </c>
      <c r="F6" s="5" t="s">
        <v>32</v>
      </c>
      <c r="G6" s="5" t="s">
        <v>2719</v>
      </c>
    </row>
    <row r="7" spans="1:7">
      <c r="A7" s="5" t="s">
        <v>2737</v>
      </c>
      <c r="B7" s="5" t="s">
        <v>876</v>
      </c>
      <c r="C7" s="5"/>
      <c r="D7" s="5" t="s">
        <v>45</v>
      </c>
      <c r="E7" s="5" t="s">
        <v>42</v>
      </c>
      <c r="F7" s="5" t="s">
        <v>32</v>
      </c>
      <c r="G7" s="5" t="s">
        <v>2716</v>
      </c>
    </row>
    <row r="8" spans="1:7">
      <c r="A8" s="5" t="s">
        <v>2738</v>
      </c>
      <c r="B8" s="5" t="s">
        <v>876</v>
      </c>
      <c r="C8" s="5"/>
      <c r="D8" s="5" t="s">
        <v>889</v>
      </c>
      <c r="E8" s="5" t="s">
        <v>890</v>
      </c>
      <c r="F8" s="5" t="s">
        <v>32</v>
      </c>
      <c r="G8" s="5" t="s">
        <v>2722</v>
      </c>
    </row>
    <row r="9" spans="1:7">
      <c r="A9" s="5" t="s">
        <v>2739</v>
      </c>
      <c r="B9" s="5" t="s">
        <v>876</v>
      </c>
      <c r="C9" s="5"/>
      <c r="D9" s="5" t="s">
        <v>892</v>
      </c>
      <c r="E9" s="5" t="s">
        <v>880</v>
      </c>
      <c r="F9" s="5" t="s">
        <v>32</v>
      </c>
      <c r="G9" s="5" t="s">
        <v>2720</v>
      </c>
    </row>
    <row r="10" spans="1:7">
      <c r="A10" s="5" t="s">
        <v>2740</v>
      </c>
      <c r="B10" s="5" t="s">
        <v>876</v>
      </c>
      <c r="C10" s="5"/>
      <c r="D10" s="5" t="s">
        <v>894</v>
      </c>
      <c r="E10" s="5" t="s">
        <v>880</v>
      </c>
      <c r="F10" s="5" t="s">
        <v>32</v>
      </c>
      <c r="G10" s="5" t="s">
        <v>2720</v>
      </c>
    </row>
    <row r="11" spans="1:7">
      <c r="A11" s="5" t="s">
        <v>2741</v>
      </c>
      <c r="B11" s="5" t="s">
        <v>876</v>
      </c>
      <c r="C11" s="5"/>
      <c r="D11" s="5" t="s">
        <v>896</v>
      </c>
      <c r="E11" s="5" t="s">
        <v>66</v>
      </c>
      <c r="F11" s="5" t="s">
        <v>32</v>
      </c>
      <c r="G11" s="5" t="s">
        <v>2719</v>
      </c>
    </row>
    <row r="12" spans="1:7">
      <c r="A12" s="5" t="s">
        <v>2742</v>
      </c>
      <c r="B12" s="5" t="s">
        <v>876</v>
      </c>
      <c r="C12" s="5"/>
      <c r="D12" s="5" t="s">
        <v>898</v>
      </c>
      <c r="E12" s="5" t="s">
        <v>66</v>
      </c>
      <c r="F12" s="5" t="s">
        <v>32</v>
      </c>
      <c r="G12" s="5" t="s">
        <v>2719</v>
      </c>
    </row>
    <row r="13" spans="1:7">
      <c r="A13" s="5" t="s">
        <v>2743</v>
      </c>
      <c r="B13" s="5" t="s">
        <v>876</v>
      </c>
      <c r="C13" s="5"/>
      <c r="D13" s="5" t="s">
        <v>900</v>
      </c>
      <c r="E13" s="5" t="s">
        <v>66</v>
      </c>
      <c r="F13" s="5" t="s">
        <v>32</v>
      </c>
      <c r="G13" s="5" t="s">
        <v>2719</v>
      </c>
    </row>
    <row r="14" spans="1:7">
      <c r="A14" s="5" t="s">
        <v>2744</v>
      </c>
      <c r="B14" s="5" t="s">
        <v>876</v>
      </c>
      <c r="C14" s="5"/>
      <c r="D14" s="5" t="s">
        <v>902</v>
      </c>
      <c r="E14" s="5" t="s">
        <v>66</v>
      </c>
      <c r="F14" s="5" t="s">
        <v>32</v>
      </c>
      <c r="G14" s="5" t="s">
        <v>2719</v>
      </c>
    </row>
    <row r="15" spans="1:7">
      <c r="A15" s="5" t="s">
        <v>2745</v>
      </c>
      <c r="B15" s="5" t="s">
        <v>876</v>
      </c>
      <c r="C15" s="5"/>
      <c r="D15" s="5" t="s">
        <v>904</v>
      </c>
      <c r="E15" s="5" t="s">
        <v>66</v>
      </c>
      <c r="F15" s="5" t="s">
        <v>32</v>
      </c>
      <c r="G15" s="5" t="s">
        <v>2719</v>
      </c>
    </row>
    <row r="16" spans="1:7">
      <c r="A16" s="5" t="s">
        <v>2746</v>
      </c>
      <c r="B16" s="5" t="s">
        <v>876</v>
      </c>
      <c r="C16" s="5"/>
      <c r="D16" s="5" t="s">
        <v>906</v>
      </c>
      <c r="E16" s="5" t="s">
        <v>66</v>
      </c>
      <c r="F16" s="5" t="s">
        <v>32</v>
      </c>
      <c r="G16" s="5" t="s">
        <v>2719</v>
      </c>
    </row>
    <row r="17" spans="1:7">
      <c r="A17" s="5" t="s">
        <v>2747</v>
      </c>
      <c r="B17" s="5" t="s">
        <v>876</v>
      </c>
      <c r="C17" s="5"/>
      <c r="D17" s="5" t="s">
        <v>910</v>
      </c>
      <c r="E17" s="5" t="s">
        <v>890</v>
      </c>
      <c r="F17" s="5" t="s">
        <v>32</v>
      </c>
      <c r="G17" s="5" t="s">
        <v>2722</v>
      </c>
    </row>
    <row r="18" spans="1:7">
      <c r="A18" s="5" t="s">
        <v>2748</v>
      </c>
      <c r="B18" s="5" t="s">
        <v>876</v>
      </c>
      <c r="C18" s="5"/>
      <c r="D18" s="5" t="s">
        <v>912</v>
      </c>
      <c r="E18" s="5" t="s">
        <v>66</v>
      </c>
      <c r="F18" s="5" t="s">
        <v>32</v>
      </c>
      <c r="G18" s="5" t="s">
        <v>2719</v>
      </c>
    </row>
    <row r="19" spans="1:7">
      <c r="A19" s="5" t="s">
        <v>2749</v>
      </c>
      <c r="B19" s="5" t="s">
        <v>876</v>
      </c>
      <c r="C19" s="5"/>
      <c r="D19" s="5" t="s">
        <v>914</v>
      </c>
      <c r="E19" s="5" t="s">
        <v>66</v>
      </c>
      <c r="F19" s="5" t="s">
        <v>32</v>
      </c>
      <c r="G19" s="5" t="s">
        <v>2719</v>
      </c>
    </row>
    <row r="20" spans="1:7">
      <c r="A20" s="5" t="s">
        <v>2750</v>
      </c>
      <c r="B20" s="5" t="s">
        <v>876</v>
      </c>
      <c r="C20" s="5"/>
      <c r="D20" s="5" t="s">
        <v>916</v>
      </c>
      <c r="E20" s="5" t="s">
        <v>66</v>
      </c>
      <c r="F20" s="5" t="s">
        <v>32</v>
      </c>
      <c r="G20" s="5" t="s">
        <v>2719</v>
      </c>
    </row>
    <row r="21" spans="1:7">
      <c r="A21" s="5" t="s">
        <v>2751</v>
      </c>
      <c r="B21" s="5" t="s">
        <v>876</v>
      </c>
      <c r="C21" s="5"/>
      <c r="D21" s="5" t="s">
        <v>918</v>
      </c>
      <c r="E21" s="5" t="s">
        <v>66</v>
      </c>
      <c r="F21" s="5" t="s">
        <v>32</v>
      </c>
      <c r="G21" s="5" t="s">
        <v>2719</v>
      </c>
    </row>
    <row r="22" spans="1:7">
      <c r="A22" s="5" t="s">
        <v>2752</v>
      </c>
      <c r="B22" s="5" t="s">
        <v>876</v>
      </c>
      <c r="C22" s="5"/>
      <c r="D22" s="5" t="s">
        <v>920</v>
      </c>
      <c r="E22" s="5" t="s">
        <v>66</v>
      </c>
      <c r="F22" s="5" t="s">
        <v>32</v>
      </c>
      <c r="G22" s="5" t="s">
        <v>2719</v>
      </c>
    </row>
    <row r="23" spans="1:7">
      <c r="A23" s="5" t="s">
        <v>2753</v>
      </c>
      <c r="B23" s="5" t="s">
        <v>876</v>
      </c>
      <c r="C23" s="5"/>
      <c r="D23" s="5" t="s">
        <v>922</v>
      </c>
      <c r="E23" s="5" t="s">
        <v>880</v>
      </c>
      <c r="F23" s="5" t="s">
        <v>32</v>
      </c>
      <c r="G23" s="5" t="s">
        <v>2720</v>
      </c>
    </row>
    <row r="24" spans="1:7">
      <c r="A24" s="5" t="s">
        <v>2754</v>
      </c>
      <c r="B24" s="5" t="s">
        <v>876</v>
      </c>
      <c r="C24" s="5"/>
      <c r="D24" s="5" t="s">
        <v>898</v>
      </c>
      <c r="E24" s="5" t="s">
        <v>890</v>
      </c>
      <c r="F24" s="5" t="s">
        <v>32</v>
      </c>
      <c r="G24" s="5" t="s">
        <v>2722</v>
      </c>
    </row>
    <row r="25" spans="1:7">
      <c r="A25" s="5" t="s">
        <v>2755</v>
      </c>
      <c r="B25" s="5" t="s">
        <v>876</v>
      </c>
      <c r="C25" s="5"/>
      <c r="D25" s="5" t="s">
        <v>925</v>
      </c>
      <c r="E25" s="5" t="s">
        <v>66</v>
      </c>
      <c r="F25" s="5" t="s">
        <v>32</v>
      </c>
      <c r="G25" s="5" t="s">
        <v>2719</v>
      </c>
    </row>
    <row r="26" spans="1:7">
      <c r="A26" s="5" t="s">
        <v>2756</v>
      </c>
      <c r="B26" s="5" t="s">
        <v>876</v>
      </c>
      <c r="C26" s="5"/>
      <c r="D26" s="5" t="s">
        <v>927</v>
      </c>
      <c r="E26" s="5" t="s">
        <v>66</v>
      </c>
      <c r="F26" s="5" t="s">
        <v>32</v>
      </c>
      <c r="G26" s="5" t="s">
        <v>2719</v>
      </c>
    </row>
    <row r="27" spans="1:7">
      <c r="A27" s="5" t="s">
        <v>2757</v>
      </c>
      <c r="B27" s="5" t="s">
        <v>876</v>
      </c>
      <c r="C27" s="5"/>
      <c r="D27" s="5" t="s">
        <v>929</v>
      </c>
      <c r="E27" s="5" t="s">
        <v>930</v>
      </c>
      <c r="F27" s="5" t="s">
        <v>32</v>
      </c>
      <c r="G27" s="5" t="s">
        <v>2723</v>
      </c>
    </row>
    <row r="28" spans="1:7">
      <c r="A28" s="5" t="s">
        <v>2758</v>
      </c>
      <c r="B28" s="5" t="s">
        <v>876</v>
      </c>
      <c r="C28" s="5"/>
      <c r="D28" s="5" t="s">
        <v>934</v>
      </c>
      <c r="E28" s="5" t="s">
        <v>890</v>
      </c>
      <c r="F28" s="5" t="s">
        <v>32</v>
      </c>
      <c r="G28" s="5" t="s">
        <v>2722</v>
      </c>
    </row>
    <row r="29" spans="1:7">
      <c r="A29" s="5" t="s">
        <v>2759</v>
      </c>
      <c r="B29" s="5" t="s">
        <v>876</v>
      </c>
      <c r="C29" s="5"/>
      <c r="D29" s="5" t="s">
        <v>906</v>
      </c>
      <c r="E29" s="5" t="s">
        <v>890</v>
      </c>
      <c r="F29" s="5" t="s">
        <v>32</v>
      </c>
      <c r="G29" s="5" t="s">
        <v>2722</v>
      </c>
    </row>
    <row r="30" spans="1:7">
      <c r="A30" s="5" t="s">
        <v>2760</v>
      </c>
      <c r="B30" s="5" t="s">
        <v>876</v>
      </c>
      <c r="C30" s="5"/>
      <c r="D30" s="5" t="s">
        <v>937</v>
      </c>
      <c r="E30" s="5" t="s">
        <v>66</v>
      </c>
      <c r="F30" s="5" t="s">
        <v>32</v>
      </c>
      <c r="G30" s="5" t="s">
        <v>2719</v>
      </c>
    </row>
    <row r="31" spans="1:7">
      <c r="A31" s="5" t="s">
        <v>2761</v>
      </c>
      <c r="B31" s="5" t="s">
        <v>876</v>
      </c>
      <c r="C31" s="5"/>
      <c r="D31" s="5" t="s">
        <v>939</v>
      </c>
      <c r="E31" s="5" t="s">
        <v>940</v>
      </c>
      <c r="F31" s="5" t="s">
        <v>32</v>
      </c>
      <c r="G31" s="5" t="s">
        <v>2724</v>
      </c>
    </row>
    <row r="32" spans="1:7">
      <c r="A32" s="5" t="s">
        <v>2762</v>
      </c>
      <c r="B32" s="5" t="s">
        <v>876</v>
      </c>
      <c r="C32" s="5"/>
      <c r="D32" s="5" t="s">
        <v>942</v>
      </c>
      <c r="E32" s="5" t="s">
        <v>880</v>
      </c>
      <c r="F32" s="5" t="s">
        <v>32</v>
      </c>
      <c r="G32" s="5" t="s">
        <v>2720</v>
      </c>
    </row>
    <row r="33" spans="1:7">
      <c r="A33" s="5" t="s">
        <v>2763</v>
      </c>
      <c r="B33" s="5" t="s">
        <v>876</v>
      </c>
      <c r="C33" s="5"/>
      <c r="D33" s="5" t="s">
        <v>944</v>
      </c>
      <c r="E33" s="5" t="s">
        <v>880</v>
      </c>
      <c r="F33" s="5" t="s">
        <v>32</v>
      </c>
      <c r="G33" s="5" t="s">
        <v>2720</v>
      </c>
    </row>
    <row r="34" spans="1:7">
      <c r="A34" s="5" t="s">
        <v>2764</v>
      </c>
      <c r="B34" s="5" t="s">
        <v>876</v>
      </c>
      <c r="C34" s="5"/>
      <c r="D34" s="5" t="s">
        <v>946</v>
      </c>
      <c r="E34" s="5" t="s">
        <v>940</v>
      </c>
      <c r="F34" s="5" t="s">
        <v>32</v>
      </c>
      <c r="G34" s="5" t="s">
        <v>2724</v>
      </c>
    </row>
    <row r="35" spans="1:7">
      <c r="A35" s="5" t="s">
        <v>2765</v>
      </c>
      <c r="B35" s="5" t="s">
        <v>876</v>
      </c>
      <c r="C35" s="5"/>
      <c r="D35" s="5" t="s">
        <v>948</v>
      </c>
      <c r="E35" s="5" t="s">
        <v>880</v>
      </c>
      <c r="F35" s="5" t="s">
        <v>32</v>
      </c>
      <c r="G35" s="5" t="s">
        <v>2720</v>
      </c>
    </row>
    <row r="36" spans="1:7">
      <c r="A36" s="5" t="s">
        <v>2766</v>
      </c>
      <c r="B36" s="5" t="s">
        <v>876</v>
      </c>
      <c r="C36" s="5"/>
      <c r="D36" s="5" t="s">
        <v>910</v>
      </c>
      <c r="E36" s="5" t="s">
        <v>66</v>
      </c>
      <c r="F36" s="5" t="s">
        <v>32</v>
      </c>
      <c r="G36" s="5" t="s">
        <v>2719</v>
      </c>
    </row>
    <row r="37" spans="1:7">
      <c r="A37" s="5" t="s">
        <v>2767</v>
      </c>
      <c r="B37" s="5" t="s">
        <v>876</v>
      </c>
      <c r="C37" s="5"/>
      <c r="D37" s="5" t="s">
        <v>902</v>
      </c>
      <c r="E37" s="5" t="s">
        <v>890</v>
      </c>
      <c r="F37" s="5" t="s">
        <v>32</v>
      </c>
      <c r="G37" s="5" t="s">
        <v>2722</v>
      </c>
    </row>
    <row r="38" spans="1:7">
      <c r="A38" s="5" t="s">
        <v>2768</v>
      </c>
      <c r="B38" s="5" t="s">
        <v>876</v>
      </c>
      <c r="C38" s="5"/>
      <c r="D38" s="5" t="s">
        <v>954</v>
      </c>
      <c r="E38" s="5" t="s">
        <v>890</v>
      </c>
      <c r="F38" s="5" t="s">
        <v>32</v>
      </c>
      <c r="G38" s="5" t="s">
        <v>2722</v>
      </c>
    </row>
    <row r="39" spans="1:7">
      <c r="A39" s="5" t="s">
        <v>2769</v>
      </c>
      <c r="B39" s="5" t="s">
        <v>876</v>
      </c>
      <c r="C39" s="5"/>
      <c r="D39" s="5" t="s">
        <v>956</v>
      </c>
      <c r="E39" s="5" t="s">
        <v>880</v>
      </c>
      <c r="F39" s="5" t="s">
        <v>32</v>
      </c>
      <c r="G39" s="5" t="s">
        <v>2720</v>
      </c>
    </row>
    <row r="40" spans="1:7">
      <c r="A40" s="5" t="s">
        <v>2770</v>
      </c>
      <c r="B40" s="5" t="s">
        <v>876</v>
      </c>
      <c r="C40" s="5"/>
      <c r="D40" s="5" t="s">
        <v>958</v>
      </c>
      <c r="E40" s="5" t="s">
        <v>31</v>
      </c>
      <c r="F40" s="5" t="s">
        <v>32</v>
      </c>
      <c r="G40" s="5" t="s">
        <v>2721</v>
      </c>
    </row>
    <row r="41" spans="1:7">
      <c r="A41" s="5" t="s">
        <v>2771</v>
      </c>
      <c r="B41" s="5" t="s">
        <v>876</v>
      </c>
      <c r="C41" s="5"/>
      <c r="D41" s="5" t="s">
        <v>960</v>
      </c>
      <c r="E41" s="5" t="s">
        <v>880</v>
      </c>
      <c r="F41" s="5" t="s">
        <v>32</v>
      </c>
      <c r="G41" s="5" t="s">
        <v>2720</v>
      </c>
    </row>
    <row r="42" spans="1:7">
      <c r="A42" s="5" t="s">
        <v>2772</v>
      </c>
      <c r="B42" s="5" t="s">
        <v>876</v>
      </c>
      <c r="C42" s="5"/>
      <c r="D42" s="5" t="s">
        <v>962</v>
      </c>
      <c r="E42" s="5" t="s">
        <v>880</v>
      </c>
      <c r="F42" s="5" t="s">
        <v>32</v>
      </c>
      <c r="G42" s="5" t="s">
        <v>2720</v>
      </c>
    </row>
    <row r="43" spans="1:7">
      <c r="A43" s="5" t="s">
        <v>2773</v>
      </c>
      <c r="B43" s="5" t="s">
        <v>876</v>
      </c>
      <c r="C43" s="5"/>
      <c r="D43" s="5" t="s">
        <v>964</v>
      </c>
      <c r="E43" s="5" t="s">
        <v>880</v>
      </c>
      <c r="F43" s="5" t="s">
        <v>32</v>
      </c>
      <c r="G43" s="5" t="s">
        <v>2720</v>
      </c>
    </row>
    <row r="44" spans="1:7">
      <c r="A44" s="5" t="s">
        <v>2774</v>
      </c>
      <c r="B44" s="5" t="s">
        <v>876</v>
      </c>
      <c r="C44" s="5"/>
      <c r="D44" s="5" t="s">
        <v>966</v>
      </c>
      <c r="E44" s="5" t="s">
        <v>66</v>
      </c>
      <c r="F44" s="5" t="s">
        <v>32</v>
      </c>
      <c r="G44" s="5" t="s">
        <v>2719</v>
      </c>
    </row>
    <row r="45" spans="1:7">
      <c r="A45" s="5" t="s">
        <v>2775</v>
      </c>
      <c r="B45" s="5" t="s">
        <v>876</v>
      </c>
      <c r="C45" s="5"/>
      <c r="D45" s="5" t="s">
        <v>970</v>
      </c>
      <c r="E45" s="5" t="s">
        <v>880</v>
      </c>
      <c r="F45" s="5" t="s">
        <v>32</v>
      </c>
      <c r="G45" s="5" t="s">
        <v>2720</v>
      </c>
    </row>
    <row r="46" spans="1:7">
      <c r="A46" s="5" t="s">
        <v>2776</v>
      </c>
      <c r="B46" s="5" t="s">
        <v>876</v>
      </c>
      <c r="C46" s="5"/>
      <c r="D46" s="5" t="s">
        <v>972</v>
      </c>
      <c r="E46" s="5" t="s">
        <v>42</v>
      </c>
      <c r="F46" s="5" t="s">
        <v>32</v>
      </c>
      <c r="G46" s="5" t="s">
        <v>2716</v>
      </c>
    </row>
    <row r="47" spans="1:7">
      <c r="A47" s="5" t="s">
        <v>2777</v>
      </c>
      <c r="B47" s="5" t="s">
        <v>876</v>
      </c>
      <c r="C47" s="5"/>
      <c r="D47" s="5" t="s">
        <v>974</v>
      </c>
      <c r="E47" s="5" t="s">
        <v>890</v>
      </c>
      <c r="F47" s="5" t="s">
        <v>32</v>
      </c>
      <c r="G47" s="5" t="s">
        <v>2722</v>
      </c>
    </row>
    <row r="48" spans="1:7">
      <c r="A48" s="5" t="s">
        <v>2778</v>
      </c>
      <c r="B48" s="5" t="s">
        <v>876</v>
      </c>
      <c r="C48" s="5"/>
      <c r="D48" s="5" t="s">
        <v>976</v>
      </c>
      <c r="E48" s="5" t="s">
        <v>66</v>
      </c>
      <c r="F48" s="5" t="s">
        <v>32</v>
      </c>
      <c r="G48" s="5" t="s">
        <v>2719</v>
      </c>
    </row>
    <row r="49" spans="1:7">
      <c r="A49" s="5" t="s">
        <v>2779</v>
      </c>
      <c r="B49" s="5" t="s">
        <v>876</v>
      </c>
      <c r="C49" s="5"/>
      <c r="D49" s="5" t="s">
        <v>59</v>
      </c>
      <c r="E49" s="5" t="s">
        <v>42</v>
      </c>
      <c r="F49" s="5" t="s">
        <v>32</v>
      </c>
      <c r="G49" s="5" t="s">
        <v>2716</v>
      </c>
    </row>
    <row r="50" spans="1:7">
      <c r="A50" s="5" t="s">
        <v>2780</v>
      </c>
      <c r="B50" s="5" t="s">
        <v>876</v>
      </c>
      <c r="C50" s="5"/>
      <c r="D50" s="5" t="s">
        <v>979</v>
      </c>
      <c r="E50" s="5" t="s">
        <v>880</v>
      </c>
      <c r="F50" s="5" t="s">
        <v>32</v>
      </c>
      <c r="G50" s="5" t="s">
        <v>2720</v>
      </c>
    </row>
    <row r="51" spans="1:7">
      <c r="A51" s="5" t="s">
        <v>2781</v>
      </c>
      <c r="B51" s="5" t="s">
        <v>876</v>
      </c>
      <c r="C51" s="5"/>
      <c r="D51" s="5" t="s">
        <v>981</v>
      </c>
      <c r="E51" s="5" t="s">
        <v>982</v>
      </c>
      <c r="F51" s="5" t="s">
        <v>32</v>
      </c>
      <c r="G51" s="5" t="s">
        <v>2725</v>
      </c>
    </row>
    <row r="52" spans="1:7">
      <c r="A52" s="5" t="s">
        <v>2782</v>
      </c>
      <c r="B52" s="5" t="s">
        <v>876</v>
      </c>
      <c r="C52" s="5"/>
      <c r="D52" s="5" t="s">
        <v>984</v>
      </c>
      <c r="E52" s="5" t="s">
        <v>890</v>
      </c>
      <c r="F52" s="5" t="s">
        <v>32</v>
      </c>
      <c r="G52" s="5" t="s">
        <v>2722</v>
      </c>
    </row>
    <row r="53" spans="1:7">
      <c r="A53" s="5" t="s">
        <v>2783</v>
      </c>
      <c r="B53" s="5" t="s">
        <v>876</v>
      </c>
      <c r="C53" s="5"/>
      <c r="D53" s="5" t="s">
        <v>889</v>
      </c>
      <c r="E53" s="5" t="s">
        <v>66</v>
      </c>
      <c r="F53" s="5" t="s">
        <v>32</v>
      </c>
      <c r="G53" s="5" t="s">
        <v>2719</v>
      </c>
    </row>
    <row r="54" spans="1:7">
      <c r="A54" s="5" t="s">
        <v>2784</v>
      </c>
      <c r="B54" s="5" t="s">
        <v>876</v>
      </c>
      <c r="C54" s="5"/>
      <c r="D54" s="5" t="s">
        <v>987</v>
      </c>
      <c r="E54" s="5" t="s">
        <v>890</v>
      </c>
      <c r="F54" s="5" t="s">
        <v>32</v>
      </c>
      <c r="G54" s="5" t="s">
        <v>2722</v>
      </c>
    </row>
    <row r="55" spans="1:7">
      <c r="A55" s="5" t="s">
        <v>2785</v>
      </c>
      <c r="B55" s="5" t="s">
        <v>876</v>
      </c>
      <c r="C55" s="5"/>
      <c r="D55" s="5" t="s">
        <v>989</v>
      </c>
      <c r="E55" s="5" t="s">
        <v>880</v>
      </c>
      <c r="F55" s="5" t="s">
        <v>32</v>
      </c>
      <c r="G55" s="5" t="s">
        <v>2720</v>
      </c>
    </row>
    <row r="56" spans="1:7">
      <c r="A56" s="5" t="s">
        <v>2786</v>
      </c>
      <c r="B56" s="5" t="s">
        <v>876</v>
      </c>
      <c r="C56" s="5"/>
      <c r="D56" s="5" t="s">
        <v>991</v>
      </c>
      <c r="E56" s="5" t="s">
        <v>66</v>
      </c>
      <c r="F56" s="5" t="s">
        <v>32</v>
      </c>
      <c r="G56" s="5" t="s">
        <v>2719</v>
      </c>
    </row>
    <row r="57" spans="1:7">
      <c r="A57" s="5" t="s">
        <v>2787</v>
      </c>
      <c r="B57" s="5" t="s">
        <v>876</v>
      </c>
      <c r="C57" s="5"/>
      <c r="D57" s="5" t="s">
        <v>993</v>
      </c>
      <c r="E57" s="5" t="s">
        <v>890</v>
      </c>
      <c r="F57" s="5" t="s">
        <v>32</v>
      </c>
      <c r="G57" s="5" t="s">
        <v>2722</v>
      </c>
    </row>
    <row r="58" spans="1:7">
      <c r="A58" s="5" t="s">
        <v>2788</v>
      </c>
      <c r="B58" s="5" t="s">
        <v>876</v>
      </c>
      <c r="C58" s="5"/>
      <c r="D58" s="5" t="s">
        <v>877</v>
      </c>
      <c r="E58" s="5" t="s">
        <v>890</v>
      </c>
      <c r="F58" s="5" t="s">
        <v>32</v>
      </c>
      <c r="G58" s="5" t="s">
        <v>2722</v>
      </c>
    </row>
    <row r="59" spans="1:7">
      <c r="A59" s="5" t="s">
        <v>2789</v>
      </c>
      <c r="B59" s="5" t="s">
        <v>876</v>
      </c>
      <c r="C59" s="5"/>
      <c r="D59" s="5" t="s">
        <v>996</v>
      </c>
      <c r="E59" s="5" t="s">
        <v>880</v>
      </c>
      <c r="F59" s="5" t="s">
        <v>32</v>
      </c>
      <c r="G59" s="5" t="s">
        <v>2720</v>
      </c>
    </row>
    <row r="60" spans="1:7">
      <c r="A60" s="5" t="s">
        <v>2790</v>
      </c>
      <c r="B60" s="5" t="s">
        <v>876</v>
      </c>
      <c r="C60" s="5"/>
      <c r="D60" s="5" t="s">
        <v>998</v>
      </c>
      <c r="E60" s="5" t="s">
        <v>880</v>
      </c>
      <c r="F60" s="5" t="s">
        <v>32</v>
      </c>
      <c r="G60" s="5" t="s">
        <v>2720</v>
      </c>
    </row>
    <row r="61" spans="1:7">
      <c r="A61" s="5" t="s">
        <v>2791</v>
      </c>
      <c r="B61" s="5" t="s">
        <v>876</v>
      </c>
      <c r="C61" s="5"/>
      <c r="D61" s="5" t="s">
        <v>1000</v>
      </c>
      <c r="E61" s="5" t="s">
        <v>66</v>
      </c>
      <c r="F61" s="5" t="s">
        <v>32</v>
      </c>
      <c r="G61" s="5" t="s">
        <v>2719</v>
      </c>
    </row>
    <row r="62" spans="1:7">
      <c r="A62" s="5" t="s">
        <v>2792</v>
      </c>
      <c r="B62" s="5" t="s">
        <v>876</v>
      </c>
      <c r="C62" s="5"/>
      <c r="D62" s="5" t="s">
        <v>1002</v>
      </c>
      <c r="E62" s="5" t="s">
        <v>66</v>
      </c>
      <c r="F62" s="5" t="s">
        <v>32</v>
      </c>
      <c r="G62" s="5" t="s">
        <v>2719</v>
      </c>
    </row>
    <row r="63" spans="1:7">
      <c r="A63" s="5" t="s">
        <v>2793</v>
      </c>
      <c r="B63" s="5" t="s">
        <v>876</v>
      </c>
      <c r="C63" s="5"/>
      <c r="D63" s="5" t="s">
        <v>1004</v>
      </c>
      <c r="E63" s="5" t="s">
        <v>880</v>
      </c>
      <c r="F63" s="5" t="s">
        <v>32</v>
      </c>
      <c r="G63" s="5" t="s">
        <v>2720</v>
      </c>
    </row>
    <row r="64" spans="1:7">
      <c r="A64" s="5" t="s">
        <v>2794</v>
      </c>
      <c r="B64" s="5" t="s">
        <v>876</v>
      </c>
      <c r="C64" s="5"/>
      <c r="D64" s="5" t="s">
        <v>1006</v>
      </c>
      <c r="E64" s="5" t="s">
        <v>31</v>
      </c>
      <c r="F64" s="5" t="s">
        <v>32</v>
      </c>
      <c r="G64" s="5" t="s">
        <v>2721</v>
      </c>
    </row>
    <row r="65" spans="1:7">
      <c r="A65" s="5" t="s">
        <v>2795</v>
      </c>
      <c r="B65" s="5" t="s">
        <v>876</v>
      </c>
      <c r="C65" s="5"/>
      <c r="D65" s="5" t="s">
        <v>1008</v>
      </c>
      <c r="E65" s="5" t="s">
        <v>880</v>
      </c>
      <c r="F65" s="5" t="s">
        <v>32</v>
      </c>
      <c r="G65" s="5" t="s">
        <v>2720</v>
      </c>
    </row>
    <row r="66" spans="1:7">
      <c r="A66" s="5" t="s">
        <v>2796</v>
      </c>
      <c r="B66" s="5" t="s">
        <v>876</v>
      </c>
      <c r="C66" s="5"/>
      <c r="D66" s="5" t="s">
        <v>1010</v>
      </c>
      <c r="E66" s="5" t="s">
        <v>66</v>
      </c>
      <c r="F66" s="5" t="s">
        <v>32</v>
      </c>
      <c r="G66" s="5" t="s">
        <v>2719</v>
      </c>
    </row>
    <row r="67" spans="1:7">
      <c r="A67" s="5" t="s">
        <v>2797</v>
      </c>
      <c r="B67" s="5" t="s">
        <v>876</v>
      </c>
      <c r="C67" s="5"/>
      <c r="D67" s="5" t="s">
        <v>1012</v>
      </c>
      <c r="E67" s="5" t="s">
        <v>66</v>
      </c>
      <c r="F67" s="5" t="s">
        <v>32</v>
      </c>
      <c r="G67" s="5" t="s">
        <v>2719</v>
      </c>
    </row>
    <row r="68" spans="1:7">
      <c r="A68" s="5" t="s">
        <v>2798</v>
      </c>
      <c r="B68" s="5" t="s">
        <v>876</v>
      </c>
      <c r="C68" s="5"/>
      <c r="D68" s="5" t="s">
        <v>1014</v>
      </c>
      <c r="E68" s="5" t="s">
        <v>1015</v>
      </c>
      <c r="F68" s="5" t="s">
        <v>32</v>
      </c>
      <c r="G68" s="5" t="s">
        <v>2726</v>
      </c>
    </row>
    <row r="69" spans="1:7">
      <c r="A69" s="5" t="s">
        <v>2799</v>
      </c>
      <c r="B69" s="5" t="s">
        <v>876</v>
      </c>
      <c r="C69" s="5"/>
      <c r="D69" s="5" t="s">
        <v>914</v>
      </c>
      <c r="E69" s="5" t="s">
        <v>890</v>
      </c>
      <c r="F69" s="5" t="s">
        <v>32</v>
      </c>
      <c r="G69" s="5" t="s">
        <v>2722</v>
      </c>
    </row>
    <row r="70" spans="1:7">
      <c r="A70" s="5" t="s">
        <v>2800</v>
      </c>
      <c r="B70" s="5" t="s">
        <v>876</v>
      </c>
      <c r="C70" s="5"/>
      <c r="D70" s="5" t="s">
        <v>1018</v>
      </c>
      <c r="E70" s="5" t="s">
        <v>880</v>
      </c>
      <c r="F70" s="5" t="s">
        <v>32</v>
      </c>
      <c r="G70" s="5" t="s">
        <v>2720</v>
      </c>
    </row>
    <row r="71" spans="1:7">
      <c r="A71" s="5" t="s">
        <v>2801</v>
      </c>
      <c r="B71" s="5" t="s">
        <v>876</v>
      </c>
      <c r="C71" s="5"/>
      <c r="D71" s="5" t="s">
        <v>1020</v>
      </c>
      <c r="E71" s="5" t="s">
        <v>982</v>
      </c>
      <c r="F71" s="5" t="s">
        <v>32</v>
      </c>
      <c r="G71" s="5" t="s">
        <v>2725</v>
      </c>
    </row>
    <row r="72" spans="1:7">
      <c r="A72" s="5" t="s">
        <v>2802</v>
      </c>
      <c r="B72" s="5" t="s">
        <v>876</v>
      </c>
      <c r="C72" s="5"/>
      <c r="D72" s="5" t="s">
        <v>1022</v>
      </c>
      <c r="E72" s="5" t="s">
        <v>31</v>
      </c>
      <c r="F72" s="5" t="s">
        <v>32</v>
      </c>
      <c r="G72" s="5" t="s">
        <v>2721</v>
      </c>
    </row>
    <row r="73" spans="1:7">
      <c r="A73" s="5" t="s">
        <v>2803</v>
      </c>
      <c r="B73" s="5" t="s">
        <v>876</v>
      </c>
      <c r="C73" s="5"/>
      <c r="D73" s="5" t="s">
        <v>1024</v>
      </c>
      <c r="E73" s="5" t="s">
        <v>66</v>
      </c>
      <c r="F73" s="5" t="s">
        <v>32</v>
      </c>
      <c r="G73" s="5" t="s">
        <v>2719</v>
      </c>
    </row>
    <row r="74" spans="1:7">
      <c r="A74" s="5" t="s">
        <v>2804</v>
      </c>
      <c r="B74" s="5" t="s">
        <v>876</v>
      </c>
      <c r="C74" s="5"/>
      <c r="D74" s="5" t="s">
        <v>1026</v>
      </c>
      <c r="E74" s="5" t="s">
        <v>890</v>
      </c>
      <c r="F74" s="5" t="s">
        <v>32</v>
      </c>
      <c r="G74" s="5" t="s">
        <v>2722</v>
      </c>
    </row>
    <row r="75" spans="1:7">
      <c r="A75" s="5" t="s">
        <v>2805</v>
      </c>
      <c r="B75" s="5" t="s">
        <v>876</v>
      </c>
      <c r="C75" s="5"/>
      <c r="D75" s="5" t="s">
        <v>1028</v>
      </c>
      <c r="E75" s="5" t="s">
        <v>880</v>
      </c>
      <c r="F75" s="5" t="s">
        <v>32</v>
      </c>
      <c r="G75" s="5" t="s">
        <v>2720</v>
      </c>
    </row>
    <row r="76" spans="1:7">
      <c r="A76" s="5" t="s">
        <v>2806</v>
      </c>
      <c r="B76" s="5" t="s">
        <v>876</v>
      </c>
      <c r="C76" s="5"/>
      <c r="D76" s="5" t="s">
        <v>1030</v>
      </c>
      <c r="E76" s="5" t="s">
        <v>890</v>
      </c>
      <c r="F76" s="5" t="s">
        <v>32</v>
      </c>
      <c r="G76" s="5" t="s">
        <v>2722</v>
      </c>
    </row>
    <row r="77" spans="1:7">
      <c r="A77" s="5" t="s">
        <v>2807</v>
      </c>
      <c r="B77" s="5" t="s">
        <v>876</v>
      </c>
      <c r="C77" s="5"/>
      <c r="D77" s="5" t="s">
        <v>1035</v>
      </c>
      <c r="E77" s="5" t="s">
        <v>66</v>
      </c>
      <c r="F77" s="5" t="s">
        <v>32</v>
      </c>
      <c r="G77" s="5" t="s">
        <v>2719</v>
      </c>
    </row>
    <row r="78" spans="1:7">
      <c r="A78" s="5" t="s">
        <v>2808</v>
      </c>
      <c r="B78" s="5" t="s">
        <v>876</v>
      </c>
      <c r="C78" s="5"/>
      <c r="D78" s="5" t="s">
        <v>1037</v>
      </c>
      <c r="E78" s="5" t="s">
        <v>890</v>
      </c>
      <c r="F78" s="5" t="s">
        <v>32</v>
      </c>
      <c r="G78" s="5" t="s">
        <v>2722</v>
      </c>
    </row>
    <row r="79" spans="1:7">
      <c r="A79" s="5" t="s">
        <v>2809</v>
      </c>
      <c r="B79" s="5" t="s">
        <v>876</v>
      </c>
      <c r="C79" s="5"/>
      <c r="D79" s="5" t="s">
        <v>1039</v>
      </c>
      <c r="E79" s="5" t="s">
        <v>66</v>
      </c>
      <c r="F79" s="5" t="s">
        <v>32</v>
      </c>
      <c r="G79" s="5" t="s">
        <v>2719</v>
      </c>
    </row>
    <row r="80" spans="1:7">
      <c r="A80" s="5" t="s">
        <v>2810</v>
      </c>
      <c r="B80" s="5" t="s">
        <v>876</v>
      </c>
      <c r="C80" s="5"/>
      <c r="D80" s="5" t="s">
        <v>1041</v>
      </c>
      <c r="E80" s="5" t="s">
        <v>31</v>
      </c>
      <c r="F80" s="5" t="s">
        <v>32</v>
      </c>
      <c r="G80" s="5" t="s">
        <v>2721</v>
      </c>
    </row>
    <row r="81" spans="1:7">
      <c r="A81" s="5" t="s">
        <v>2811</v>
      </c>
      <c r="B81" s="5" t="s">
        <v>876</v>
      </c>
      <c r="C81" s="5"/>
      <c r="D81" s="5" t="s">
        <v>1045</v>
      </c>
      <c r="E81" s="5" t="s">
        <v>880</v>
      </c>
      <c r="F81" s="5" t="s">
        <v>32</v>
      </c>
      <c r="G81" s="5" t="s">
        <v>2720</v>
      </c>
    </row>
    <row r="82" spans="1:7">
      <c r="A82" s="5" t="s">
        <v>2812</v>
      </c>
      <c r="B82" s="5" t="s">
        <v>876</v>
      </c>
      <c r="C82" s="5"/>
      <c r="D82" s="5" t="s">
        <v>1047</v>
      </c>
      <c r="E82" s="5" t="s">
        <v>66</v>
      </c>
      <c r="F82" s="5" t="s">
        <v>32</v>
      </c>
      <c r="G82" s="5" t="s">
        <v>2719</v>
      </c>
    </row>
    <row r="83" spans="1:7">
      <c r="A83" s="5" t="s">
        <v>2813</v>
      </c>
      <c r="B83" s="5" t="s">
        <v>876</v>
      </c>
      <c r="C83" s="5"/>
      <c r="D83" s="5" t="s">
        <v>1049</v>
      </c>
      <c r="E83" s="5" t="s">
        <v>66</v>
      </c>
      <c r="F83" s="5" t="s">
        <v>32</v>
      </c>
      <c r="G83" s="5" t="s">
        <v>2719</v>
      </c>
    </row>
    <row r="84" spans="1:7">
      <c r="A84" s="5" t="s">
        <v>2814</v>
      </c>
      <c r="B84" s="5" t="s">
        <v>876</v>
      </c>
      <c r="C84" s="5"/>
      <c r="D84" s="5" t="s">
        <v>1051</v>
      </c>
      <c r="E84" s="5" t="s">
        <v>930</v>
      </c>
      <c r="F84" s="5" t="s">
        <v>32</v>
      </c>
      <c r="G84" s="5" t="s">
        <v>2723</v>
      </c>
    </row>
    <row r="85" spans="1:7">
      <c r="A85" s="5" t="s">
        <v>2815</v>
      </c>
      <c r="B85" s="5" t="s">
        <v>876</v>
      </c>
      <c r="C85" s="5"/>
      <c r="D85" s="5" t="s">
        <v>1053</v>
      </c>
      <c r="E85" s="5" t="s">
        <v>880</v>
      </c>
      <c r="F85" s="5" t="s">
        <v>32</v>
      </c>
      <c r="G85" s="5" t="s">
        <v>2720</v>
      </c>
    </row>
    <row r="86" spans="1:7">
      <c r="A86" s="5" t="s">
        <v>2816</v>
      </c>
      <c r="B86" s="5" t="s">
        <v>876</v>
      </c>
      <c r="C86" s="5"/>
      <c r="D86" s="5" t="s">
        <v>1055</v>
      </c>
      <c r="E86" s="5" t="s">
        <v>930</v>
      </c>
      <c r="F86" s="5" t="s">
        <v>32</v>
      </c>
      <c r="G86" s="5" t="s">
        <v>2723</v>
      </c>
    </row>
    <row r="87" spans="1:7">
      <c r="A87" s="5" t="s">
        <v>2817</v>
      </c>
      <c r="B87" s="5" t="s">
        <v>876</v>
      </c>
      <c r="C87" s="5"/>
      <c r="D87" s="5" t="s">
        <v>1057</v>
      </c>
      <c r="E87" s="5" t="s">
        <v>1015</v>
      </c>
      <c r="F87" s="5" t="s">
        <v>32</v>
      </c>
      <c r="G87" s="5" t="s">
        <v>2726</v>
      </c>
    </row>
    <row r="88" spans="1:7">
      <c r="A88" s="5" t="s">
        <v>2818</v>
      </c>
      <c r="B88" s="5" t="s">
        <v>876</v>
      </c>
      <c r="C88" s="5"/>
      <c r="D88" s="5" t="s">
        <v>1059</v>
      </c>
      <c r="E88" s="5" t="s">
        <v>66</v>
      </c>
      <c r="F88" s="5" t="s">
        <v>32</v>
      </c>
      <c r="G88" s="5" t="s">
        <v>2719</v>
      </c>
    </row>
    <row r="89" spans="1:7">
      <c r="A89" s="5" t="s">
        <v>2819</v>
      </c>
      <c r="B89" s="5" t="s">
        <v>876</v>
      </c>
      <c r="C89" s="5"/>
      <c r="D89" s="5" t="s">
        <v>1037</v>
      </c>
      <c r="E89" s="5" t="s">
        <v>66</v>
      </c>
      <c r="F89" s="5" t="s">
        <v>32</v>
      </c>
      <c r="G89" s="5" t="s">
        <v>2719</v>
      </c>
    </row>
    <row r="90" spans="1:7">
      <c r="A90" s="5" t="s">
        <v>2820</v>
      </c>
      <c r="B90" s="5" t="s">
        <v>876</v>
      </c>
      <c r="C90" s="5"/>
      <c r="D90" s="5" t="s">
        <v>1062</v>
      </c>
      <c r="E90" s="5" t="s">
        <v>940</v>
      </c>
      <c r="F90" s="5" t="s">
        <v>32</v>
      </c>
      <c r="G90" s="5" t="s">
        <v>2724</v>
      </c>
    </row>
    <row r="91" spans="1:7">
      <c r="A91" s="5" t="s">
        <v>2821</v>
      </c>
      <c r="B91" s="5" t="s">
        <v>876</v>
      </c>
      <c r="C91" s="5"/>
      <c r="D91" s="5" t="s">
        <v>1064</v>
      </c>
      <c r="E91" s="5" t="s">
        <v>940</v>
      </c>
      <c r="F91" s="5" t="s">
        <v>32</v>
      </c>
      <c r="G91" s="5" t="s">
        <v>2724</v>
      </c>
    </row>
    <row r="92" spans="1:7">
      <c r="A92" s="5" t="s">
        <v>2822</v>
      </c>
      <c r="B92" s="5" t="s">
        <v>876</v>
      </c>
      <c r="C92" s="5"/>
      <c r="D92" s="5" t="s">
        <v>1066</v>
      </c>
      <c r="E92" s="5" t="s">
        <v>890</v>
      </c>
      <c r="F92" s="5" t="s">
        <v>32</v>
      </c>
      <c r="G92" s="5" t="s">
        <v>2722</v>
      </c>
    </row>
    <row r="93" spans="1:7">
      <c r="A93" s="5" t="s">
        <v>2823</v>
      </c>
      <c r="B93" s="5" t="s">
        <v>876</v>
      </c>
      <c r="C93" s="5"/>
      <c r="D93" s="5" t="s">
        <v>1070</v>
      </c>
      <c r="E93" s="5" t="s">
        <v>66</v>
      </c>
      <c r="F93" s="5" t="s">
        <v>32</v>
      </c>
      <c r="G93" s="5" t="s">
        <v>2719</v>
      </c>
    </row>
    <row r="94" spans="1:7">
      <c r="A94" s="5" t="s">
        <v>2824</v>
      </c>
      <c r="B94" s="5" t="s">
        <v>876</v>
      </c>
      <c r="C94" s="5"/>
      <c r="D94" s="5" t="s">
        <v>1072</v>
      </c>
      <c r="E94" s="5" t="s">
        <v>880</v>
      </c>
      <c r="F94" s="5" t="s">
        <v>32</v>
      </c>
      <c r="G94" s="5" t="s">
        <v>2720</v>
      </c>
    </row>
    <row r="95" spans="1:7">
      <c r="A95" s="5" t="s">
        <v>2825</v>
      </c>
      <c r="B95" s="5" t="s">
        <v>876</v>
      </c>
      <c r="C95" s="5"/>
      <c r="D95" s="5" t="s">
        <v>1074</v>
      </c>
      <c r="E95" s="5" t="s">
        <v>66</v>
      </c>
      <c r="F95" s="5" t="s">
        <v>32</v>
      </c>
      <c r="G95" s="5" t="s">
        <v>2719</v>
      </c>
    </row>
    <row r="96" spans="1:7">
      <c r="A96" s="5" t="s">
        <v>2826</v>
      </c>
      <c r="B96" s="5" t="s">
        <v>876</v>
      </c>
      <c r="C96" s="5"/>
      <c r="D96" s="5" t="s">
        <v>1076</v>
      </c>
      <c r="E96" s="5" t="s">
        <v>66</v>
      </c>
      <c r="F96" s="5" t="s">
        <v>32</v>
      </c>
      <c r="G96" s="5" t="s">
        <v>2719</v>
      </c>
    </row>
    <row r="97" spans="1:7">
      <c r="A97" s="5" t="s">
        <v>2827</v>
      </c>
      <c r="B97" s="5" t="s">
        <v>876</v>
      </c>
      <c r="C97" s="5"/>
      <c r="D97" s="5" t="s">
        <v>954</v>
      </c>
      <c r="E97" s="5" t="s">
        <v>66</v>
      </c>
      <c r="F97" s="5" t="s">
        <v>32</v>
      </c>
      <c r="G97" s="5" t="s">
        <v>2719</v>
      </c>
    </row>
    <row r="98" spans="1:7">
      <c r="A98" s="5" t="s">
        <v>2828</v>
      </c>
      <c r="B98" s="5" t="s">
        <v>876</v>
      </c>
      <c r="C98" s="5"/>
      <c r="D98" s="5" t="s">
        <v>1079</v>
      </c>
      <c r="E98" s="5" t="s">
        <v>66</v>
      </c>
      <c r="F98" s="5" t="s">
        <v>32</v>
      </c>
      <c r="G98" s="5" t="s">
        <v>2719</v>
      </c>
    </row>
    <row r="99" spans="1:7">
      <c r="A99" s="5" t="s">
        <v>2829</v>
      </c>
      <c r="B99" s="5" t="s">
        <v>876</v>
      </c>
      <c r="C99" s="5"/>
      <c r="D99" s="5" t="s">
        <v>1081</v>
      </c>
      <c r="E99" s="5" t="s">
        <v>66</v>
      </c>
      <c r="F99" s="5" t="s">
        <v>32</v>
      </c>
      <c r="G99" s="5" t="s">
        <v>2719</v>
      </c>
    </row>
    <row r="100" spans="1:7">
      <c r="A100" s="5" t="s">
        <v>2830</v>
      </c>
      <c r="B100" s="5" t="s">
        <v>876</v>
      </c>
      <c r="C100" s="5"/>
      <c r="D100" s="5" t="s">
        <v>1083</v>
      </c>
      <c r="E100" s="5" t="s">
        <v>31</v>
      </c>
      <c r="F100" s="5" t="s">
        <v>32</v>
      </c>
      <c r="G100" s="5" t="s">
        <v>2721</v>
      </c>
    </row>
    <row r="101" spans="1:7">
      <c r="A101" s="5" t="s">
        <v>2831</v>
      </c>
      <c r="B101" s="5" t="s">
        <v>876</v>
      </c>
      <c r="C101" s="5"/>
      <c r="D101" s="5" t="s">
        <v>1085</v>
      </c>
      <c r="E101" s="5" t="s">
        <v>930</v>
      </c>
      <c r="F101" s="5" t="s">
        <v>32</v>
      </c>
      <c r="G101" s="5" t="s">
        <v>2723</v>
      </c>
    </row>
    <row r="102" spans="1:7">
      <c r="A102" s="5" t="s">
        <v>2832</v>
      </c>
      <c r="B102" s="5" t="s">
        <v>876</v>
      </c>
      <c r="C102" s="5"/>
      <c r="D102" s="5" t="s">
        <v>1087</v>
      </c>
      <c r="E102" s="5" t="s">
        <v>940</v>
      </c>
      <c r="F102" s="5" t="s">
        <v>32</v>
      </c>
      <c r="G102" s="5" t="s">
        <v>2724</v>
      </c>
    </row>
    <row r="103" spans="1:7">
      <c r="A103" s="5" t="s">
        <v>2833</v>
      </c>
      <c r="B103" s="5" t="s">
        <v>876</v>
      </c>
      <c r="C103" s="5"/>
      <c r="D103" s="5" t="s">
        <v>1089</v>
      </c>
      <c r="E103" s="5" t="s">
        <v>66</v>
      </c>
      <c r="F103" s="5" t="s">
        <v>32</v>
      </c>
      <c r="G103" s="5" t="s">
        <v>2719</v>
      </c>
    </row>
    <row r="104" spans="1:7">
      <c r="A104" s="5" t="s">
        <v>2834</v>
      </c>
      <c r="B104" s="5" t="s">
        <v>876</v>
      </c>
      <c r="C104" s="5"/>
      <c r="D104" s="5" t="s">
        <v>1091</v>
      </c>
      <c r="E104" s="5" t="s">
        <v>890</v>
      </c>
      <c r="F104" s="5" t="s">
        <v>32</v>
      </c>
      <c r="G104" s="5" t="s">
        <v>2722</v>
      </c>
    </row>
    <row r="105" spans="1:7">
      <c r="A105" s="5" t="s">
        <v>2835</v>
      </c>
      <c r="B105" s="5" t="s">
        <v>876</v>
      </c>
      <c r="C105" s="5"/>
      <c r="D105" s="5" t="s">
        <v>1093</v>
      </c>
      <c r="E105" s="5" t="s">
        <v>890</v>
      </c>
      <c r="F105" s="5" t="s">
        <v>32</v>
      </c>
      <c r="G105" s="5" t="s">
        <v>2722</v>
      </c>
    </row>
    <row r="106" spans="1:7">
      <c r="A106" s="5" t="s">
        <v>2836</v>
      </c>
      <c r="B106" s="5" t="s">
        <v>876</v>
      </c>
      <c r="C106" s="5"/>
      <c r="D106" s="5" t="s">
        <v>1095</v>
      </c>
      <c r="E106" s="5" t="s">
        <v>66</v>
      </c>
      <c r="F106" s="5" t="s">
        <v>32</v>
      </c>
      <c r="G106" s="5" t="s">
        <v>2719</v>
      </c>
    </row>
    <row r="107" spans="1:7">
      <c r="A107" s="5" t="s">
        <v>2837</v>
      </c>
      <c r="B107" s="5" t="s">
        <v>876</v>
      </c>
      <c r="C107" s="5"/>
      <c r="D107" s="5" t="s">
        <v>41</v>
      </c>
      <c r="E107" s="5" t="s">
        <v>42</v>
      </c>
      <c r="F107" s="5" t="s">
        <v>32</v>
      </c>
      <c r="G107" s="5" t="s">
        <v>2716</v>
      </c>
    </row>
    <row r="108" spans="1:7">
      <c r="A108" s="5" t="s">
        <v>2838</v>
      </c>
      <c r="B108" s="5" t="s">
        <v>876</v>
      </c>
      <c r="C108" s="5"/>
      <c r="D108" s="5" t="s">
        <v>1098</v>
      </c>
      <c r="E108" s="5" t="s">
        <v>880</v>
      </c>
      <c r="F108" s="5" t="s">
        <v>32</v>
      </c>
      <c r="G108" s="5" t="s">
        <v>2720</v>
      </c>
    </row>
    <row r="109" spans="1:7">
      <c r="A109" s="5" t="s">
        <v>2839</v>
      </c>
      <c r="B109" s="5" t="s">
        <v>876</v>
      </c>
      <c r="C109" s="5"/>
      <c r="D109" s="5" t="s">
        <v>1100</v>
      </c>
      <c r="E109" s="5" t="s">
        <v>66</v>
      </c>
      <c r="F109" s="5" t="s">
        <v>32</v>
      </c>
      <c r="G109" s="5" t="s">
        <v>2719</v>
      </c>
    </row>
    <row r="110" spans="1:7">
      <c r="A110" s="5" t="s">
        <v>2840</v>
      </c>
      <c r="B110" s="5" t="s">
        <v>876</v>
      </c>
      <c r="C110" s="5"/>
      <c r="D110" s="5" t="s">
        <v>1102</v>
      </c>
      <c r="E110" s="5" t="s">
        <v>930</v>
      </c>
      <c r="F110" s="5" t="s">
        <v>32</v>
      </c>
      <c r="G110" s="5" t="s">
        <v>2723</v>
      </c>
    </row>
    <row r="111" spans="1:7">
      <c r="A111" s="5" t="s">
        <v>2841</v>
      </c>
      <c r="B111" s="5" t="s">
        <v>876</v>
      </c>
      <c r="C111" s="5"/>
      <c r="D111" s="5" t="s">
        <v>934</v>
      </c>
      <c r="E111" s="5" t="s">
        <v>66</v>
      </c>
      <c r="F111" s="5" t="s">
        <v>32</v>
      </c>
      <c r="G111" s="5" t="s">
        <v>2719</v>
      </c>
    </row>
    <row r="112" spans="1:7">
      <c r="A112" s="5" t="s">
        <v>2842</v>
      </c>
      <c r="B112" s="5" t="s">
        <v>876</v>
      </c>
      <c r="C112" s="5"/>
      <c r="D112" s="5" t="s">
        <v>1059</v>
      </c>
      <c r="E112" s="5" t="s">
        <v>890</v>
      </c>
      <c r="F112" s="5" t="s">
        <v>32</v>
      </c>
      <c r="G112" s="5" t="s">
        <v>2722</v>
      </c>
    </row>
    <row r="113" spans="1:7">
      <c r="A113" s="5" t="s">
        <v>2843</v>
      </c>
      <c r="B113" s="5" t="s">
        <v>876</v>
      </c>
      <c r="C113" s="5"/>
      <c r="D113" s="5" t="s">
        <v>1047</v>
      </c>
      <c r="E113" s="5" t="s">
        <v>890</v>
      </c>
      <c r="F113" s="5" t="s">
        <v>32</v>
      </c>
      <c r="G113" s="5" t="s">
        <v>2722</v>
      </c>
    </row>
    <row r="114" spans="1:7">
      <c r="A114" s="5" t="s">
        <v>2844</v>
      </c>
      <c r="B114" s="5" t="s">
        <v>876</v>
      </c>
      <c r="C114" s="5"/>
      <c r="D114" s="5" t="s">
        <v>1107</v>
      </c>
      <c r="E114" s="5" t="s">
        <v>1015</v>
      </c>
      <c r="F114" s="5" t="s">
        <v>32</v>
      </c>
      <c r="G114" s="5" t="s">
        <v>2726</v>
      </c>
    </row>
    <row r="115" spans="1:7">
      <c r="A115" s="5" t="s">
        <v>2845</v>
      </c>
      <c r="B115" s="5" t="s">
        <v>876</v>
      </c>
      <c r="C115" s="5"/>
      <c r="D115" s="5" t="s">
        <v>1109</v>
      </c>
      <c r="E115" s="5" t="s">
        <v>66</v>
      </c>
      <c r="F115" s="5" t="s">
        <v>32</v>
      </c>
      <c r="G115" s="5" t="s">
        <v>2719</v>
      </c>
    </row>
    <row r="116" spans="1:7">
      <c r="A116" s="5" t="s">
        <v>2846</v>
      </c>
      <c r="B116" s="5" t="s">
        <v>876</v>
      </c>
      <c r="C116" s="5"/>
      <c r="D116" s="5" t="s">
        <v>1111</v>
      </c>
      <c r="E116" s="5" t="s">
        <v>66</v>
      </c>
      <c r="F116" s="5" t="s">
        <v>32</v>
      </c>
      <c r="G116" s="5" t="s">
        <v>2719</v>
      </c>
    </row>
    <row r="117" spans="1:7">
      <c r="A117" s="5" t="s">
        <v>2847</v>
      </c>
      <c r="B117" s="5" t="s">
        <v>876</v>
      </c>
      <c r="C117" s="5"/>
      <c r="D117" s="5" t="s">
        <v>900</v>
      </c>
      <c r="E117" s="5" t="s">
        <v>890</v>
      </c>
      <c r="F117" s="5" t="s">
        <v>32</v>
      </c>
      <c r="G117" s="5" t="s">
        <v>2722</v>
      </c>
    </row>
    <row r="118" spans="1:7">
      <c r="A118" s="5" t="s">
        <v>2848</v>
      </c>
      <c r="B118" s="5" t="s">
        <v>876</v>
      </c>
      <c r="C118" s="5"/>
      <c r="D118" s="5" t="s">
        <v>1114</v>
      </c>
      <c r="E118" s="5" t="s">
        <v>66</v>
      </c>
      <c r="F118" s="5" t="s">
        <v>32</v>
      </c>
      <c r="G118" s="5" t="s">
        <v>2719</v>
      </c>
    </row>
    <row r="119" spans="1:7">
      <c r="A119" s="5" t="s">
        <v>2849</v>
      </c>
      <c r="B119" s="5" t="s">
        <v>876</v>
      </c>
      <c r="C119" s="5"/>
      <c r="D119" s="5" t="s">
        <v>1116</v>
      </c>
      <c r="E119" s="5" t="s">
        <v>66</v>
      </c>
      <c r="F119" s="5" t="s">
        <v>32</v>
      </c>
      <c r="G119" s="5" t="s">
        <v>2719</v>
      </c>
    </row>
    <row r="120" spans="1:7">
      <c r="A120" s="5" t="s">
        <v>2850</v>
      </c>
      <c r="B120" s="5" t="s">
        <v>876</v>
      </c>
      <c r="C120" s="5"/>
      <c r="D120" s="5" t="s">
        <v>1118</v>
      </c>
      <c r="E120" s="5" t="s">
        <v>66</v>
      </c>
      <c r="F120" s="5" t="s">
        <v>32</v>
      </c>
      <c r="G120" s="5" t="s">
        <v>2719</v>
      </c>
    </row>
    <row r="121" spans="1:7">
      <c r="A121" s="5" t="s">
        <v>2851</v>
      </c>
      <c r="B121" s="5" t="s">
        <v>876</v>
      </c>
      <c r="C121" s="5"/>
      <c r="D121" s="5" t="s">
        <v>1120</v>
      </c>
      <c r="E121" s="5" t="s">
        <v>66</v>
      </c>
      <c r="F121" s="5" t="s">
        <v>32</v>
      </c>
      <c r="G121" s="5" t="s">
        <v>2719</v>
      </c>
    </row>
    <row r="122" spans="1:7">
      <c r="A122" s="5" t="s">
        <v>2852</v>
      </c>
      <c r="B122" s="5" t="s">
        <v>876</v>
      </c>
      <c r="C122" s="5"/>
      <c r="D122" s="5" t="s">
        <v>1122</v>
      </c>
      <c r="E122" s="5" t="s">
        <v>66</v>
      </c>
      <c r="F122" s="5" t="s">
        <v>32</v>
      </c>
      <c r="G122" s="5" t="s">
        <v>2719</v>
      </c>
    </row>
    <row r="123" spans="1:7">
      <c r="A123" s="5" t="s">
        <v>2853</v>
      </c>
      <c r="B123" s="5" t="s">
        <v>876</v>
      </c>
      <c r="C123" s="5"/>
      <c r="D123" s="5" t="s">
        <v>1124</v>
      </c>
      <c r="E123" s="5" t="s">
        <v>880</v>
      </c>
      <c r="F123" s="5" t="s">
        <v>32</v>
      </c>
      <c r="G123" s="5" t="s">
        <v>2720</v>
      </c>
    </row>
    <row r="124" spans="1:7">
      <c r="A124" s="5" t="s">
        <v>2854</v>
      </c>
      <c r="B124" s="5" t="s">
        <v>876</v>
      </c>
      <c r="C124" s="5"/>
      <c r="D124" s="5" t="s">
        <v>1131</v>
      </c>
      <c r="E124" s="5" t="s">
        <v>880</v>
      </c>
      <c r="F124" s="5" t="s">
        <v>32</v>
      </c>
      <c r="G124" s="5" t="s">
        <v>2720</v>
      </c>
    </row>
    <row r="125" spans="1:7">
      <c r="A125" s="5" t="s">
        <v>2855</v>
      </c>
      <c r="B125" s="5" t="s">
        <v>876</v>
      </c>
      <c r="C125" s="5"/>
      <c r="D125" s="5" t="s">
        <v>1133</v>
      </c>
      <c r="E125" s="5" t="s">
        <v>66</v>
      </c>
      <c r="F125" s="5" t="s">
        <v>32</v>
      </c>
      <c r="G125" s="5" t="s">
        <v>2719</v>
      </c>
    </row>
    <row r="126" spans="1:7">
      <c r="A126" s="5" t="s">
        <v>2856</v>
      </c>
      <c r="B126" s="5" t="s">
        <v>876</v>
      </c>
      <c r="C126" s="5"/>
      <c r="D126" s="5" t="s">
        <v>1135</v>
      </c>
      <c r="E126" s="5" t="s">
        <v>66</v>
      </c>
      <c r="F126" s="5" t="s">
        <v>32</v>
      </c>
      <c r="G126" s="5" t="s">
        <v>2719</v>
      </c>
    </row>
    <row r="127" spans="1:7">
      <c r="A127" s="5" t="s">
        <v>2857</v>
      </c>
      <c r="B127" s="5" t="s">
        <v>876</v>
      </c>
      <c r="C127" s="5"/>
      <c r="D127" s="5" t="s">
        <v>1137</v>
      </c>
      <c r="E127" s="5" t="s">
        <v>66</v>
      </c>
      <c r="F127" s="5" t="s">
        <v>32</v>
      </c>
      <c r="G127" s="5" t="s">
        <v>2719</v>
      </c>
    </row>
    <row r="128" spans="1:7">
      <c r="A128" s="5" t="s">
        <v>2858</v>
      </c>
      <c r="B128" s="5" t="s">
        <v>876</v>
      </c>
      <c r="C128" s="5"/>
      <c r="D128" s="5" t="s">
        <v>1139</v>
      </c>
      <c r="E128" s="5" t="s">
        <v>880</v>
      </c>
      <c r="F128" s="5" t="s">
        <v>32</v>
      </c>
      <c r="G128" s="5" t="s">
        <v>2720</v>
      </c>
    </row>
    <row r="129" spans="1:7">
      <c r="A129" s="5" t="s">
        <v>2859</v>
      </c>
      <c r="B129" s="5" t="s">
        <v>876</v>
      </c>
      <c r="C129" s="5"/>
      <c r="D129" s="5" t="s">
        <v>984</v>
      </c>
      <c r="E129" s="5" t="s">
        <v>66</v>
      </c>
      <c r="F129" s="5" t="s">
        <v>32</v>
      </c>
      <c r="G129" s="5" t="s">
        <v>2719</v>
      </c>
    </row>
    <row r="130" spans="1:7">
      <c r="A130" s="5" t="s">
        <v>2860</v>
      </c>
      <c r="B130" s="5" t="s">
        <v>876</v>
      </c>
      <c r="C130" s="5"/>
      <c r="D130" s="5" t="s">
        <v>1142</v>
      </c>
      <c r="E130" s="5" t="s">
        <v>880</v>
      </c>
      <c r="F130" s="5" t="s">
        <v>32</v>
      </c>
      <c r="G130" s="5" t="s">
        <v>2720</v>
      </c>
    </row>
    <row r="131" spans="1:7">
      <c r="A131" s="5" t="s">
        <v>2861</v>
      </c>
      <c r="B131" s="5" t="s">
        <v>876</v>
      </c>
      <c r="C131" s="5"/>
      <c r="D131" s="5" t="s">
        <v>1144</v>
      </c>
      <c r="E131" s="5" t="s">
        <v>880</v>
      </c>
      <c r="F131" s="5" t="s">
        <v>32</v>
      </c>
      <c r="G131" s="5" t="s">
        <v>2720</v>
      </c>
    </row>
    <row r="132" spans="1:7">
      <c r="A132" s="5" t="s">
        <v>2862</v>
      </c>
      <c r="B132" s="5" t="s">
        <v>876</v>
      </c>
      <c r="C132" s="5"/>
      <c r="D132" s="5" t="s">
        <v>1146</v>
      </c>
      <c r="E132" s="5" t="s">
        <v>66</v>
      </c>
      <c r="F132" s="5" t="s">
        <v>32</v>
      </c>
      <c r="G132" s="5" t="s">
        <v>2719</v>
      </c>
    </row>
    <row r="133" spans="1:7">
      <c r="A133" s="5" t="s">
        <v>2863</v>
      </c>
      <c r="B133" s="5" t="s">
        <v>876</v>
      </c>
      <c r="C133" s="5"/>
      <c r="D133" s="5" t="s">
        <v>882</v>
      </c>
      <c r="E133" s="5" t="s">
        <v>890</v>
      </c>
      <c r="F133" s="5" t="s">
        <v>32</v>
      </c>
      <c r="G133" s="5" t="s">
        <v>2722</v>
      </c>
    </row>
    <row r="134" spans="1:7">
      <c r="A134" s="5" t="s">
        <v>2864</v>
      </c>
      <c r="B134" s="5" t="s">
        <v>876</v>
      </c>
      <c r="C134" s="5"/>
      <c r="D134" s="5" t="s">
        <v>1026</v>
      </c>
      <c r="E134" s="5" t="s">
        <v>66</v>
      </c>
      <c r="F134" s="5" t="s">
        <v>32</v>
      </c>
      <c r="G134" s="5" t="s">
        <v>2719</v>
      </c>
    </row>
    <row r="135" spans="1:7">
      <c r="A135" s="5" t="s">
        <v>2865</v>
      </c>
      <c r="B135" s="5" t="s">
        <v>876</v>
      </c>
      <c r="C135" s="5"/>
      <c r="D135" s="5" t="s">
        <v>1150</v>
      </c>
      <c r="E135" s="5" t="s">
        <v>66</v>
      </c>
      <c r="F135" s="5" t="s">
        <v>32</v>
      </c>
      <c r="G135" s="5" t="s">
        <v>2719</v>
      </c>
    </row>
    <row r="136" spans="1:7">
      <c r="A136" s="5" t="s">
        <v>2866</v>
      </c>
      <c r="B136" s="5" t="s">
        <v>876</v>
      </c>
      <c r="C136" s="5"/>
      <c r="D136" s="5" t="s">
        <v>1152</v>
      </c>
      <c r="E136" s="5" t="s">
        <v>66</v>
      </c>
      <c r="F136" s="5" t="s">
        <v>32</v>
      </c>
      <c r="G136" s="5" t="s">
        <v>2719</v>
      </c>
    </row>
    <row r="137" spans="1:7">
      <c r="A137" s="5" t="s">
        <v>2867</v>
      </c>
      <c r="B137" s="5" t="s">
        <v>876</v>
      </c>
      <c r="C137" s="5"/>
      <c r="D137" s="5" t="s">
        <v>57</v>
      </c>
      <c r="E137" s="5" t="s">
        <v>42</v>
      </c>
      <c r="F137" s="5" t="s">
        <v>32</v>
      </c>
      <c r="G137" s="5" t="s">
        <v>2716</v>
      </c>
    </row>
    <row r="138" spans="1:7">
      <c r="A138" s="5" t="s">
        <v>2868</v>
      </c>
      <c r="B138" s="5" t="s">
        <v>876</v>
      </c>
      <c r="C138" s="5"/>
      <c r="D138" s="5" t="s">
        <v>1155</v>
      </c>
      <c r="E138" s="5" t="s">
        <v>66</v>
      </c>
      <c r="F138" s="5" t="s">
        <v>32</v>
      </c>
      <c r="G138" s="5" t="s">
        <v>2719</v>
      </c>
    </row>
    <row r="139" spans="1:7">
      <c r="A139" s="5" t="s">
        <v>2869</v>
      </c>
      <c r="B139" s="5" t="s">
        <v>876</v>
      </c>
      <c r="C139" s="5"/>
      <c r="D139" s="5" t="s">
        <v>1157</v>
      </c>
      <c r="E139" s="5" t="s">
        <v>66</v>
      </c>
      <c r="F139" s="5" t="s">
        <v>32</v>
      </c>
      <c r="G139" s="5" t="s">
        <v>2719</v>
      </c>
    </row>
    <row r="140" spans="1:7">
      <c r="A140" s="5" t="s">
        <v>2870</v>
      </c>
      <c r="B140" s="5" t="s">
        <v>876</v>
      </c>
      <c r="C140" s="5"/>
      <c r="D140" s="5" t="s">
        <v>1159</v>
      </c>
      <c r="E140" s="5" t="s">
        <v>66</v>
      </c>
      <c r="F140" s="5" t="s">
        <v>32</v>
      </c>
      <c r="G140" s="5" t="s">
        <v>2719</v>
      </c>
    </row>
    <row r="141" spans="1:7">
      <c r="A141" s="5" t="s">
        <v>2871</v>
      </c>
      <c r="B141" s="5" t="s">
        <v>876</v>
      </c>
      <c r="C141" s="5"/>
      <c r="D141" s="5" t="s">
        <v>1161</v>
      </c>
      <c r="E141" s="5" t="s">
        <v>890</v>
      </c>
      <c r="F141" s="5" t="s">
        <v>32</v>
      </c>
      <c r="G141" s="5" t="s">
        <v>2722</v>
      </c>
    </row>
    <row r="142" spans="1:7">
      <c r="A142" s="5" t="s">
        <v>2872</v>
      </c>
      <c r="B142" s="5" t="s">
        <v>876</v>
      </c>
      <c r="C142" s="5"/>
      <c r="D142" s="5" t="s">
        <v>1163</v>
      </c>
      <c r="E142" s="5" t="s">
        <v>31</v>
      </c>
      <c r="F142" s="5" t="s">
        <v>32</v>
      </c>
      <c r="G142" s="5" t="s">
        <v>2721</v>
      </c>
    </row>
    <row r="143" spans="1:7">
      <c r="A143" s="5" t="s">
        <v>2873</v>
      </c>
      <c r="B143" s="5" t="s">
        <v>876</v>
      </c>
      <c r="C143" s="5"/>
      <c r="D143" s="5" t="s">
        <v>1165</v>
      </c>
      <c r="E143" s="5" t="s">
        <v>880</v>
      </c>
      <c r="F143" s="5" t="s">
        <v>32</v>
      </c>
      <c r="G143" s="5" t="s">
        <v>2720</v>
      </c>
    </row>
    <row r="144" spans="1:7">
      <c r="A144" s="5" t="s">
        <v>2874</v>
      </c>
      <c r="B144" s="5" t="s">
        <v>876</v>
      </c>
      <c r="C144" s="5"/>
      <c r="D144" s="5" t="s">
        <v>1169</v>
      </c>
      <c r="E144" s="5" t="s">
        <v>880</v>
      </c>
      <c r="F144" s="5" t="s">
        <v>32</v>
      </c>
      <c r="G144" s="5" t="s">
        <v>2720</v>
      </c>
    </row>
    <row r="145" spans="1:7">
      <c r="A145" s="5" t="s">
        <v>2875</v>
      </c>
      <c r="B145" s="5" t="s">
        <v>876</v>
      </c>
      <c r="C145" s="5"/>
      <c r="D145" s="5" t="s">
        <v>976</v>
      </c>
      <c r="E145" s="5" t="s">
        <v>890</v>
      </c>
      <c r="F145" s="5" t="s">
        <v>32</v>
      </c>
      <c r="G145" s="5" t="s">
        <v>2722</v>
      </c>
    </row>
    <row r="146" spans="1:7">
      <c r="A146" s="5" t="s">
        <v>2876</v>
      </c>
      <c r="B146" s="5" t="s">
        <v>876</v>
      </c>
      <c r="C146" s="5"/>
      <c r="D146" s="5" t="s">
        <v>1172</v>
      </c>
      <c r="E146" s="5" t="s">
        <v>31</v>
      </c>
      <c r="F146" s="5" t="s">
        <v>32</v>
      </c>
      <c r="G146" s="5" t="s">
        <v>2721</v>
      </c>
    </row>
    <row r="147" spans="1:7">
      <c r="A147" s="5" t="s">
        <v>2877</v>
      </c>
      <c r="B147" s="5" t="s">
        <v>876</v>
      </c>
      <c r="C147" s="5"/>
      <c r="D147" s="5" t="s">
        <v>1174</v>
      </c>
      <c r="E147" s="5" t="s">
        <v>66</v>
      </c>
      <c r="F147" s="5" t="s">
        <v>32</v>
      </c>
      <c r="G147" s="5" t="s">
        <v>2719</v>
      </c>
    </row>
    <row r="148" spans="1:7">
      <c r="A148" s="5" t="s">
        <v>2878</v>
      </c>
      <c r="B148" s="5" t="s">
        <v>876</v>
      </c>
      <c r="C148" s="5"/>
      <c r="D148" s="5" t="s">
        <v>846</v>
      </c>
      <c r="E148" s="5" t="s">
        <v>42</v>
      </c>
      <c r="F148" s="5" t="s">
        <v>32</v>
      </c>
      <c r="G148" s="5" t="s">
        <v>2716</v>
      </c>
    </row>
    <row r="149" spans="1:7">
      <c r="A149" s="5" t="s">
        <v>2879</v>
      </c>
      <c r="B149" s="5" t="s">
        <v>876</v>
      </c>
      <c r="C149" s="5"/>
      <c r="D149" s="5" t="s">
        <v>1179</v>
      </c>
      <c r="E149" s="5" t="s">
        <v>66</v>
      </c>
      <c r="F149" s="5" t="s">
        <v>32</v>
      </c>
      <c r="G149" s="5" t="s">
        <v>2719</v>
      </c>
    </row>
    <row r="150" spans="1:7">
      <c r="A150" s="5" t="s">
        <v>2880</v>
      </c>
      <c r="B150" s="5" t="s">
        <v>876</v>
      </c>
      <c r="C150" s="5"/>
      <c r="D150" s="5" t="s">
        <v>1182</v>
      </c>
      <c r="E150" s="5" t="s">
        <v>890</v>
      </c>
      <c r="F150" s="5" t="s">
        <v>32</v>
      </c>
      <c r="G150" s="5" t="s">
        <v>2722</v>
      </c>
    </row>
    <row r="151" spans="1:7">
      <c r="A151" s="5" t="s">
        <v>2881</v>
      </c>
      <c r="B151" s="5" t="s">
        <v>876</v>
      </c>
      <c r="C151" s="5"/>
      <c r="D151" s="5" t="s">
        <v>1184</v>
      </c>
      <c r="E151" s="5" t="s">
        <v>890</v>
      </c>
      <c r="F151" s="5" t="s">
        <v>32</v>
      </c>
      <c r="G151" s="5" t="s">
        <v>2722</v>
      </c>
    </row>
    <row r="152" spans="1:7">
      <c r="A152" s="5" t="s">
        <v>2882</v>
      </c>
      <c r="B152" s="5" t="s">
        <v>876</v>
      </c>
      <c r="C152" s="5"/>
      <c r="D152" s="5" t="s">
        <v>970</v>
      </c>
      <c r="E152" s="5" t="s">
        <v>31</v>
      </c>
      <c r="F152" s="5" t="s">
        <v>32</v>
      </c>
      <c r="G152" s="5" t="s">
        <v>2721</v>
      </c>
    </row>
    <row r="153" spans="1:7">
      <c r="A153" s="5" t="s">
        <v>2883</v>
      </c>
      <c r="B153" s="5" t="s">
        <v>876</v>
      </c>
      <c r="C153" s="5"/>
      <c r="D153" s="5" t="s">
        <v>1187</v>
      </c>
      <c r="E153" s="5" t="s">
        <v>880</v>
      </c>
      <c r="F153" s="5" t="s">
        <v>32</v>
      </c>
      <c r="G153" s="5" t="s">
        <v>2720</v>
      </c>
    </row>
    <row r="154" spans="1:7">
      <c r="A154" s="5" t="s">
        <v>2884</v>
      </c>
      <c r="B154" s="5" t="s">
        <v>876</v>
      </c>
      <c r="C154" s="5"/>
      <c r="D154" s="5" t="s">
        <v>1189</v>
      </c>
      <c r="E154" s="5" t="s">
        <v>66</v>
      </c>
      <c r="F154" s="5" t="s">
        <v>32</v>
      </c>
      <c r="G154" s="5" t="s">
        <v>2719</v>
      </c>
    </row>
    <row r="155" spans="1:7">
      <c r="A155" s="5" t="s">
        <v>2885</v>
      </c>
      <c r="B155" s="5" t="s">
        <v>876</v>
      </c>
      <c r="C155" s="5"/>
      <c r="D155" s="5" t="s">
        <v>1191</v>
      </c>
      <c r="E155" s="5" t="s">
        <v>880</v>
      </c>
      <c r="F155" s="5" t="s">
        <v>32</v>
      </c>
      <c r="G155" s="5" t="s">
        <v>2720</v>
      </c>
    </row>
    <row r="156" spans="1:7">
      <c r="A156" s="5" t="s">
        <v>2886</v>
      </c>
      <c r="B156" s="5" t="s">
        <v>876</v>
      </c>
      <c r="C156" s="5"/>
      <c r="D156" s="5" t="s">
        <v>1193</v>
      </c>
      <c r="E156" s="5" t="s">
        <v>66</v>
      </c>
      <c r="F156" s="5" t="s">
        <v>32</v>
      </c>
      <c r="G156" s="5" t="s">
        <v>2719</v>
      </c>
    </row>
    <row r="157" spans="1:7">
      <c r="A157" s="5" t="s">
        <v>2887</v>
      </c>
      <c r="B157" s="5" t="s">
        <v>876</v>
      </c>
      <c r="C157" s="5"/>
      <c r="D157" s="5" t="s">
        <v>1195</v>
      </c>
      <c r="E157" s="5" t="s">
        <v>880</v>
      </c>
      <c r="F157" s="5" t="s">
        <v>32</v>
      </c>
      <c r="G157" s="5" t="s">
        <v>2720</v>
      </c>
    </row>
    <row r="158" spans="1:7">
      <c r="A158" s="5" t="s">
        <v>2888</v>
      </c>
      <c r="B158" s="5" t="s">
        <v>876</v>
      </c>
      <c r="C158" s="5"/>
      <c r="D158" s="5" t="s">
        <v>1144</v>
      </c>
      <c r="E158" s="5" t="s">
        <v>66</v>
      </c>
      <c r="F158" s="5" t="s">
        <v>32</v>
      </c>
      <c r="G158" s="5" t="s">
        <v>2719</v>
      </c>
    </row>
    <row r="159" spans="1:7">
      <c r="A159" s="5" t="s">
        <v>2889</v>
      </c>
      <c r="B159" s="5" t="s">
        <v>876</v>
      </c>
      <c r="C159" s="5"/>
      <c r="D159" s="5" t="s">
        <v>1198</v>
      </c>
      <c r="E159" s="5" t="s">
        <v>66</v>
      </c>
      <c r="F159" s="5" t="s">
        <v>32</v>
      </c>
      <c r="G159" s="5" t="s">
        <v>2719</v>
      </c>
    </row>
    <row r="160" spans="1:7">
      <c r="A160" s="5" t="s">
        <v>2890</v>
      </c>
      <c r="B160" s="5" t="s">
        <v>876</v>
      </c>
      <c r="C160" s="5"/>
      <c r="D160" s="5" t="s">
        <v>1200</v>
      </c>
      <c r="E160" s="5" t="s">
        <v>66</v>
      </c>
      <c r="F160" s="5" t="s">
        <v>32</v>
      </c>
      <c r="G160" s="5" t="s">
        <v>2719</v>
      </c>
    </row>
    <row r="161" spans="1:7">
      <c r="A161" s="5" t="s">
        <v>2891</v>
      </c>
      <c r="B161" s="5" t="s">
        <v>876</v>
      </c>
      <c r="C161" s="5"/>
      <c r="D161" s="5" t="s">
        <v>1202</v>
      </c>
      <c r="E161" s="5" t="s">
        <v>880</v>
      </c>
      <c r="F161" s="5" t="s">
        <v>32</v>
      </c>
      <c r="G161" s="5" t="s">
        <v>2720</v>
      </c>
    </row>
    <row r="162" spans="1:7">
      <c r="A162" s="5" t="s">
        <v>2892</v>
      </c>
      <c r="B162" s="5" t="s">
        <v>876</v>
      </c>
      <c r="C162" s="5"/>
      <c r="D162" s="5" t="s">
        <v>1204</v>
      </c>
      <c r="E162" s="5" t="s">
        <v>66</v>
      </c>
      <c r="F162" s="5" t="s">
        <v>32</v>
      </c>
      <c r="G162" s="5" t="s">
        <v>2719</v>
      </c>
    </row>
    <row r="163" spans="1:7">
      <c r="A163" s="5" t="s">
        <v>2893</v>
      </c>
      <c r="B163" s="5" t="s">
        <v>876</v>
      </c>
      <c r="C163" s="5"/>
      <c r="D163" s="5" t="s">
        <v>69</v>
      </c>
      <c r="E163" s="5" t="s">
        <v>42</v>
      </c>
      <c r="F163" s="5" t="s">
        <v>32</v>
      </c>
      <c r="G163" s="5" t="s">
        <v>2716</v>
      </c>
    </row>
    <row r="164" spans="1:7">
      <c r="A164" s="5" t="s">
        <v>2894</v>
      </c>
      <c r="B164" s="5" t="s">
        <v>876</v>
      </c>
      <c r="C164" s="5"/>
      <c r="D164" s="5" t="s">
        <v>1207</v>
      </c>
      <c r="E164" s="5" t="s">
        <v>66</v>
      </c>
      <c r="F164" s="5" t="s">
        <v>32</v>
      </c>
      <c r="G164" s="5" t="s">
        <v>2719</v>
      </c>
    </row>
    <row r="165" spans="1:7">
      <c r="A165" s="5" t="s">
        <v>2895</v>
      </c>
      <c r="B165" s="5" t="s">
        <v>876</v>
      </c>
      <c r="C165" s="5"/>
      <c r="D165" s="5" t="s">
        <v>1209</v>
      </c>
      <c r="E165" s="5" t="s">
        <v>890</v>
      </c>
      <c r="F165" s="5" t="s">
        <v>32</v>
      </c>
      <c r="G165" s="5" t="s">
        <v>2722</v>
      </c>
    </row>
    <row r="166" spans="1:7">
      <c r="A166" s="5" t="s">
        <v>2896</v>
      </c>
      <c r="B166" s="5" t="s">
        <v>876</v>
      </c>
      <c r="C166" s="5"/>
      <c r="D166" s="5" t="s">
        <v>1211</v>
      </c>
      <c r="E166" s="5" t="s">
        <v>890</v>
      </c>
      <c r="F166" s="5" t="s">
        <v>32</v>
      </c>
      <c r="G166" s="5" t="s">
        <v>2722</v>
      </c>
    </row>
    <row r="167" spans="1:7">
      <c r="A167" s="5" t="s">
        <v>2897</v>
      </c>
      <c r="B167" s="5" t="s">
        <v>876</v>
      </c>
      <c r="C167" s="5"/>
      <c r="D167" s="5" t="s">
        <v>1179</v>
      </c>
      <c r="E167" s="5" t="s">
        <v>890</v>
      </c>
      <c r="F167" s="5" t="s">
        <v>32</v>
      </c>
      <c r="G167" s="5" t="s">
        <v>2722</v>
      </c>
    </row>
    <row r="168" spans="1:7">
      <c r="A168" s="5" t="s">
        <v>2898</v>
      </c>
      <c r="B168" s="5" t="s">
        <v>876</v>
      </c>
      <c r="C168" s="5"/>
      <c r="D168" s="5" t="s">
        <v>1214</v>
      </c>
      <c r="E168" s="5" t="s">
        <v>930</v>
      </c>
      <c r="F168" s="5" t="s">
        <v>32</v>
      </c>
      <c r="G168" s="5" t="s">
        <v>2723</v>
      </c>
    </row>
    <row r="169" spans="1:7">
      <c r="A169" s="5" t="s">
        <v>2899</v>
      </c>
      <c r="B169" s="5" t="s">
        <v>876</v>
      </c>
      <c r="C169" s="5"/>
      <c r="D169" s="5" t="s">
        <v>1216</v>
      </c>
      <c r="E169" s="5" t="s">
        <v>42</v>
      </c>
      <c r="F169" s="5" t="s">
        <v>32</v>
      </c>
      <c r="G169" s="5" t="s">
        <v>2716</v>
      </c>
    </row>
    <row r="170" spans="1:7">
      <c r="A170" s="5" t="s">
        <v>2900</v>
      </c>
      <c r="B170" s="5" t="s">
        <v>876</v>
      </c>
      <c r="C170" s="5"/>
      <c r="D170" s="5" t="s">
        <v>1218</v>
      </c>
      <c r="E170" s="5" t="s">
        <v>42</v>
      </c>
      <c r="F170" s="5" t="s">
        <v>32</v>
      </c>
      <c r="G170" s="5" t="s">
        <v>2716</v>
      </c>
    </row>
    <row r="171" spans="1:7">
      <c r="A171" s="5" t="s">
        <v>2901</v>
      </c>
      <c r="B171" s="5" t="s">
        <v>876</v>
      </c>
      <c r="C171" s="5"/>
      <c r="D171" s="5" t="s">
        <v>1220</v>
      </c>
      <c r="E171" s="5" t="s">
        <v>890</v>
      </c>
      <c r="F171" s="5" t="s">
        <v>32</v>
      </c>
      <c r="G171" s="5" t="s">
        <v>2722</v>
      </c>
    </row>
    <row r="172" spans="1:7">
      <c r="A172" s="5" t="s">
        <v>2902</v>
      </c>
      <c r="B172" s="5" t="s">
        <v>876</v>
      </c>
      <c r="C172" s="5"/>
      <c r="D172" s="5" t="s">
        <v>1135</v>
      </c>
      <c r="E172" s="5" t="s">
        <v>890</v>
      </c>
      <c r="F172" s="5" t="s">
        <v>32</v>
      </c>
      <c r="G172" s="5" t="s">
        <v>2722</v>
      </c>
    </row>
    <row r="173" spans="1:7">
      <c r="A173" s="5" t="s">
        <v>2903</v>
      </c>
      <c r="B173" s="5" t="s">
        <v>876</v>
      </c>
      <c r="C173" s="5"/>
      <c r="D173" s="5" t="s">
        <v>1223</v>
      </c>
      <c r="E173" s="5" t="s">
        <v>890</v>
      </c>
      <c r="F173" s="5" t="s">
        <v>32</v>
      </c>
      <c r="G173" s="5" t="s">
        <v>2722</v>
      </c>
    </row>
    <row r="174" spans="1:7">
      <c r="A174" s="5" t="s">
        <v>2904</v>
      </c>
      <c r="B174" s="5" t="s">
        <v>876</v>
      </c>
      <c r="C174" s="5"/>
      <c r="D174" s="5" t="s">
        <v>1081</v>
      </c>
      <c r="E174" s="5" t="s">
        <v>880</v>
      </c>
      <c r="F174" s="5" t="s">
        <v>32</v>
      </c>
      <c r="G174" s="5" t="s">
        <v>2720</v>
      </c>
    </row>
    <row r="175" spans="1:7">
      <c r="A175" s="5" t="s">
        <v>2905</v>
      </c>
      <c r="B175" s="5" t="s">
        <v>876</v>
      </c>
      <c r="C175" s="5"/>
      <c r="D175" s="5" t="s">
        <v>1114</v>
      </c>
      <c r="E175" s="5" t="s">
        <v>890</v>
      </c>
      <c r="F175" s="5" t="s">
        <v>32</v>
      </c>
      <c r="G175" s="5" t="s">
        <v>2722</v>
      </c>
    </row>
    <row r="176" spans="1:7">
      <c r="A176" s="5" t="s">
        <v>2906</v>
      </c>
      <c r="B176" s="5" t="s">
        <v>876</v>
      </c>
      <c r="C176" s="5"/>
      <c r="D176" s="5" t="s">
        <v>1229</v>
      </c>
      <c r="E176" s="5" t="s">
        <v>890</v>
      </c>
      <c r="F176" s="5" t="s">
        <v>32</v>
      </c>
      <c r="G176" s="5" t="s">
        <v>2722</v>
      </c>
    </row>
    <row r="177" spans="1:7">
      <c r="A177" s="5" t="s">
        <v>2907</v>
      </c>
      <c r="B177" s="5" t="s">
        <v>876</v>
      </c>
      <c r="C177" s="5"/>
      <c r="D177" s="5" t="s">
        <v>1231</v>
      </c>
      <c r="E177" s="5" t="s">
        <v>66</v>
      </c>
      <c r="F177" s="5" t="s">
        <v>32</v>
      </c>
      <c r="G177" s="5" t="s">
        <v>2719</v>
      </c>
    </row>
    <row r="178" spans="1:7">
      <c r="A178" s="5" t="s">
        <v>2908</v>
      </c>
      <c r="B178" s="5" t="s">
        <v>876</v>
      </c>
      <c r="C178" s="5"/>
      <c r="D178" s="5" t="s">
        <v>1024</v>
      </c>
      <c r="E178" s="5" t="s">
        <v>880</v>
      </c>
      <c r="F178" s="5" t="s">
        <v>32</v>
      </c>
      <c r="G178" s="5" t="s">
        <v>2720</v>
      </c>
    </row>
    <row r="179" spans="1:7">
      <c r="A179" s="5" t="s">
        <v>2909</v>
      </c>
      <c r="B179" s="5" t="s">
        <v>876</v>
      </c>
      <c r="C179" s="5"/>
      <c r="D179" s="5" t="s">
        <v>1234</v>
      </c>
      <c r="E179" s="5" t="s">
        <v>880</v>
      </c>
      <c r="F179" s="5" t="s">
        <v>32</v>
      </c>
      <c r="G179" s="5" t="s">
        <v>2720</v>
      </c>
    </row>
    <row r="180" spans="1:7">
      <c r="A180" s="5" t="s">
        <v>2910</v>
      </c>
      <c r="B180" s="5" t="s">
        <v>876</v>
      </c>
      <c r="C180" s="5"/>
      <c r="D180" s="5" t="s">
        <v>1236</v>
      </c>
      <c r="E180" s="5" t="s">
        <v>66</v>
      </c>
      <c r="F180" s="5" t="s">
        <v>32</v>
      </c>
      <c r="G180" s="5" t="s">
        <v>2719</v>
      </c>
    </row>
    <row r="181" spans="1:7">
      <c r="A181" s="5" t="s">
        <v>2911</v>
      </c>
      <c r="B181" s="5" t="s">
        <v>876</v>
      </c>
      <c r="C181" s="5"/>
      <c r="D181" s="5" t="s">
        <v>1238</v>
      </c>
      <c r="E181" s="5" t="s">
        <v>66</v>
      </c>
      <c r="F181" s="5" t="s">
        <v>32</v>
      </c>
      <c r="G181" s="5" t="s">
        <v>2719</v>
      </c>
    </row>
    <row r="182" spans="1:7">
      <c r="A182" s="5" t="s">
        <v>2912</v>
      </c>
      <c r="B182" s="5" t="s">
        <v>876</v>
      </c>
      <c r="C182" s="5"/>
      <c r="D182" s="5" t="s">
        <v>1240</v>
      </c>
      <c r="E182" s="5" t="s">
        <v>66</v>
      </c>
      <c r="F182" s="5" t="s">
        <v>32</v>
      </c>
      <c r="G182" s="5" t="s">
        <v>2719</v>
      </c>
    </row>
    <row r="183" spans="1:7">
      <c r="A183" s="5" t="s">
        <v>2913</v>
      </c>
      <c r="B183" s="5" t="s">
        <v>876</v>
      </c>
      <c r="C183" s="5"/>
      <c r="D183" s="5" t="s">
        <v>1242</v>
      </c>
      <c r="E183" s="5" t="s">
        <v>880</v>
      </c>
      <c r="F183" s="5" t="s">
        <v>32</v>
      </c>
      <c r="G183" s="5" t="s">
        <v>2720</v>
      </c>
    </row>
    <row r="184" spans="1:7">
      <c r="A184" s="5" t="s">
        <v>2914</v>
      </c>
      <c r="B184" s="5" t="s">
        <v>876</v>
      </c>
      <c r="C184" s="5"/>
      <c r="D184" s="5" t="s">
        <v>1244</v>
      </c>
      <c r="E184" s="5" t="s">
        <v>1015</v>
      </c>
      <c r="F184" s="5" t="s">
        <v>32</v>
      </c>
      <c r="G184" s="5" t="s">
        <v>2726</v>
      </c>
    </row>
    <row r="185" spans="1:7">
      <c r="A185" s="5" t="s">
        <v>2915</v>
      </c>
      <c r="B185" s="5" t="s">
        <v>876</v>
      </c>
      <c r="C185" s="5"/>
      <c r="D185" s="5" t="s">
        <v>979</v>
      </c>
      <c r="E185" s="5" t="s">
        <v>66</v>
      </c>
      <c r="F185" s="5" t="s">
        <v>32</v>
      </c>
      <c r="G185" s="5" t="s">
        <v>2719</v>
      </c>
    </row>
    <row r="186" spans="1:7">
      <c r="A186" s="5" t="s">
        <v>2916</v>
      </c>
      <c r="B186" s="5" t="s">
        <v>876</v>
      </c>
      <c r="C186" s="5"/>
      <c r="D186" s="5" t="s">
        <v>962</v>
      </c>
      <c r="E186" s="5" t="s">
        <v>66</v>
      </c>
      <c r="F186" s="5" t="s">
        <v>32</v>
      </c>
      <c r="G186" s="5" t="s">
        <v>2719</v>
      </c>
    </row>
    <row r="187" spans="1:7">
      <c r="A187" s="5" t="s">
        <v>2917</v>
      </c>
      <c r="B187" s="5" t="s">
        <v>876</v>
      </c>
      <c r="C187" s="5"/>
      <c r="D187" s="5" t="s">
        <v>1248</v>
      </c>
      <c r="E187" s="5" t="s">
        <v>930</v>
      </c>
      <c r="F187" s="5" t="s">
        <v>32</v>
      </c>
      <c r="G187" s="5" t="s">
        <v>2723</v>
      </c>
    </row>
    <row r="188" spans="1:7">
      <c r="A188" s="5" t="s">
        <v>2918</v>
      </c>
      <c r="B188" s="5" t="s">
        <v>876</v>
      </c>
      <c r="C188" s="5"/>
      <c r="D188" s="5" t="s">
        <v>1238</v>
      </c>
      <c r="E188" s="5" t="s">
        <v>880</v>
      </c>
      <c r="F188" s="5" t="s">
        <v>32</v>
      </c>
      <c r="G188" s="5" t="s">
        <v>2720</v>
      </c>
    </row>
    <row r="189" spans="1:7">
      <c r="A189" s="5" t="s">
        <v>2919</v>
      </c>
      <c r="B189" s="5" t="s">
        <v>876</v>
      </c>
      <c r="C189" s="5"/>
      <c r="D189" s="5" t="s">
        <v>1231</v>
      </c>
      <c r="E189" s="5" t="s">
        <v>880</v>
      </c>
      <c r="F189" s="5" t="s">
        <v>32</v>
      </c>
      <c r="G189" s="5" t="s">
        <v>2720</v>
      </c>
    </row>
    <row r="190" spans="1:7">
      <c r="A190" s="5" t="s">
        <v>2920</v>
      </c>
      <c r="B190" s="5" t="s">
        <v>876</v>
      </c>
      <c r="C190" s="5"/>
      <c r="D190" s="5" t="s">
        <v>1252</v>
      </c>
      <c r="E190" s="5" t="s">
        <v>880</v>
      </c>
      <c r="F190" s="5" t="s">
        <v>32</v>
      </c>
      <c r="G190" s="5" t="s">
        <v>2720</v>
      </c>
    </row>
    <row r="191" spans="1:7">
      <c r="A191" s="5" t="s">
        <v>2921</v>
      </c>
      <c r="B191" s="5" t="s">
        <v>876</v>
      </c>
      <c r="C191" s="5"/>
      <c r="D191" s="5" t="s">
        <v>1254</v>
      </c>
      <c r="E191" s="5" t="s">
        <v>66</v>
      </c>
      <c r="F191" s="5" t="s">
        <v>32</v>
      </c>
      <c r="G191" s="5" t="s">
        <v>2719</v>
      </c>
    </row>
    <row r="192" spans="1:7">
      <c r="A192" s="5" t="s">
        <v>2922</v>
      </c>
      <c r="B192" s="5" t="s">
        <v>876</v>
      </c>
      <c r="C192" s="5"/>
      <c r="D192" s="5" t="s">
        <v>1256</v>
      </c>
      <c r="E192" s="5" t="s">
        <v>890</v>
      </c>
      <c r="F192" s="5" t="s">
        <v>32</v>
      </c>
      <c r="G192" s="5" t="s">
        <v>2722</v>
      </c>
    </row>
    <row r="193" spans="1:7">
      <c r="A193" s="5" t="s">
        <v>2923</v>
      </c>
      <c r="B193" s="5" t="s">
        <v>876</v>
      </c>
      <c r="C193" s="5"/>
      <c r="D193" s="5" t="s">
        <v>1258</v>
      </c>
      <c r="E193" s="5" t="s">
        <v>66</v>
      </c>
      <c r="F193" s="5" t="s">
        <v>32</v>
      </c>
      <c r="G193" s="5" t="s">
        <v>2719</v>
      </c>
    </row>
    <row r="194" spans="1:7">
      <c r="A194" s="5" t="s">
        <v>2924</v>
      </c>
      <c r="B194" s="5" t="s">
        <v>876</v>
      </c>
      <c r="C194" s="5"/>
      <c r="D194" s="5" t="s">
        <v>1260</v>
      </c>
      <c r="E194" s="5" t="s">
        <v>880</v>
      </c>
      <c r="F194" s="5" t="s">
        <v>32</v>
      </c>
      <c r="G194" s="5" t="s">
        <v>2720</v>
      </c>
    </row>
    <row r="195" spans="1:7">
      <c r="A195" s="5" t="s">
        <v>2925</v>
      </c>
      <c r="B195" s="5" t="s">
        <v>876</v>
      </c>
      <c r="C195" s="5"/>
      <c r="D195" s="5" t="s">
        <v>1211</v>
      </c>
      <c r="E195" s="5" t="s">
        <v>66</v>
      </c>
      <c r="F195" s="5" t="s">
        <v>32</v>
      </c>
      <c r="G195" s="5" t="s">
        <v>2719</v>
      </c>
    </row>
    <row r="196" spans="1:7">
      <c r="A196" s="5" t="s">
        <v>2926</v>
      </c>
      <c r="B196" s="5" t="s">
        <v>876</v>
      </c>
      <c r="C196" s="5"/>
      <c r="D196" s="5" t="s">
        <v>996</v>
      </c>
      <c r="E196" s="5" t="s">
        <v>31</v>
      </c>
      <c r="F196" s="5" t="s">
        <v>32</v>
      </c>
      <c r="G196" s="5" t="s">
        <v>2721</v>
      </c>
    </row>
    <row r="197" spans="1:7">
      <c r="A197" s="5" t="s">
        <v>2927</v>
      </c>
      <c r="B197" s="5" t="s">
        <v>876</v>
      </c>
      <c r="C197" s="5"/>
      <c r="D197" s="5" t="s">
        <v>1264</v>
      </c>
      <c r="E197" s="5" t="s">
        <v>880</v>
      </c>
      <c r="F197" s="5" t="s">
        <v>32</v>
      </c>
      <c r="G197" s="5" t="s">
        <v>2720</v>
      </c>
    </row>
    <row r="198" spans="1:7">
      <c r="A198" s="5" t="s">
        <v>2928</v>
      </c>
      <c r="B198" s="5" t="s">
        <v>876</v>
      </c>
      <c r="C198" s="5"/>
      <c r="D198" s="5" t="s">
        <v>1120</v>
      </c>
      <c r="E198" s="5" t="s">
        <v>890</v>
      </c>
      <c r="F198" s="5" t="s">
        <v>32</v>
      </c>
      <c r="G198" s="5" t="s">
        <v>2722</v>
      </c>
    </row>
    <row r="199" spans="1:7">
      <c r="A199" s="5" t="s">
        <v>2929</v>
      </c>
      <c r="B199" s="5" t="s">
        <v>876</v>
      </c>
      <c r="C199" s="5"/>
      <c r="D199" s="5" t="s">
        <v>1267</v>
      </c>
      <c r="E199" s="5" t="s">
        <v>890</v>
      </c>
      <c r="F199" s="5" t="s">
        <v>32</v>
      </c>
      <c r="G199" s="5" t="s">
        <v>2722</v>
      </c>
    </row>
    <row r="200" spans="1:7">
      <c r="A200" s="5" t="s">
        <v>2930</v>
      </c>
      <c r="B200" s="5" t="s">
        <v>876</v>
      </c>
      <c r="C200" s="5"/>
      <c r="D200" s="5" t="s">
        <v>1269</v>
      </c>
      <c r="E200" s="5" t="s">
        <v>930</v>
      </c>
      <c r="F200" s="5" t="s">
        <v>32</v>
      </c>
      <c r="G200" s="5" t="s">
        <v>2723</v>
      </c>
    </row>
    <row r="201" spans="1:7">
      <c r="A201" s="5" t="s">
        <v>2931</v>
      </c>
      <c r="B201" s="5" t="s">
        <v>876</v>
      </c>
      <c r="C201" s="5"/>
      <c r="D201" s="5" t="s">
        <v>1202</v>
      </c>
      <c r="E201" s="5" t="s">
        <v>66</v>
      </c>
      <c r="F201" s="5" t="s">
        <v>32</v>
      </c>
      <c r="G201" s="5" t="s">
        <v>2719</v>
      </c>
    </row>
    <row r="202" spans="1:7">
      <c r="A202" s="5" t="s">
        <v>2932</v>
      </c>
      <c r="B202" s="5" t="s">
        <v>876</v>
      </c>
      <c r="C202" s="5"/>
      <c r="D202" s="5" t="s">
        <v>1272</v>
      </c>
      <c r="E202" s="5" t="s">
        <v>66</v>
      </c>
      <c r="F202" s="5" t="s">
        <v>32</v>
      </c>
      <c r="G202" s="5" t="s">
        <v>2719</v>
      </c>
    </row>
    <row r="203" spans="1:7">
      <c r="A203" s="5" t="s">
        <v>2933</v>
      </c>
      <c r="B203" s="5" t="s">
        <v>876</v>
      </c>
      <c r="C203" s="5"/>
      <c r="D203" s="5" t="s">
        <v>1264</v>
      </c>
      <c r="E203" s="5" t="s">
        <v>66</v>
      </c>
      <c r="F203" s="5" t="s">
        <v>32</v>
      </c>
      <c r="G203" s="5" t="s">
        <v>2719</v>
      </c>
    </row>
    <row r="204" spans="1:7">
      <c r="A204" s="5" t="s">
        <v>2934</v>
      </c>
      <c r="B204" s="5" t="s">
        <v>876</v>
      </c>
      <c r="C204" s="5"/>
      <c r="D204" s="5" t="s">
        <v>1275</v>
      </c>
      <c r="E204" s="5" t="s">
        <v>42</v>
      </c>
      <c r="F204" s="5" t="s">
        <v>32</v>
      </c>
      <c r="G204" s="5" t="s">
        <v>2716</v>
      </c>
    </row>
    <row r="205" spans="1:7">
      <c r="A205" s="5" t="s">
        <v>2935</v>
      </c>
      <c r="B205" s="5" t="s">
        <v>876</v>
      </c>
      <c r="C205" s="5"/>
      <c r="D205" s="5" t="s">
        <v>1279</v>
      </c>
      <c r="E205" s="5" t="s">
        <v>1015</v>
      </c>
      <c r="F205" s="5" t="s">
        <v>32</v>
      </c>
      <c r="G205" s="5" t="s">
        <v>2726</v>
      </c>
    </row>
    <row r="206" spans="1:7">
      <c r="A206" s="5" t="s">
        <v>2936</v>
      </c>
      <c r="B206" s="5" t="s">
        <v>876</v>
      </c>
      <c r="C206" s="5"/>
      <c r="D206" s="5" t="s">
        <v>1198</v>
      </c>
      <c r="E206" s="5" t="s">
        <v>880</v>
      </c>
      <c r="F206" s="5" t="s">
        <v>32</v>
      </c>
      <c r="G206" s="5" t="s">
        <v>2720</v>
      </c>
    </row>
    <row r="207" spans="1:7">
      <c r="A207" s="5" t="s">
        <v>2937</v>
      </c>
      <c r="B207" s="5" t="s">
        <v>876</v>
      </c>
      <c r="C207" s="5"/>
      <c r="D207" s="5" t="s">
        <v>1282</v>
      </c>
      <c r="E207" s="5" t="s">
        <v>42</v>
      </c>
      <c r="F207" s="5" t="s">
        <v>32</v>
      </c>
      <c r="G207" s="5" t="s">
        <v>2716</v>
      </c>
    </row>
    <row r="208" spans="1:7">
      <c r="A208" s="5" t="s">
        <v>2938</v>
      </c>
      <c r="B208" s="5" t="s">
        <v>876</v>
      </c>
      <c r="C208" s="5"/>
      <c r="D208" s="5" t="s">
        <v>904</v>
      </c>
      <c r="E208" s="5" t="s">
        <v>880</v>
      </c>
      <c r="F208" s="5" t="s">
        <v>32</v>
      </c>
      <c r="G208" s="5" t="s">
        <v>2720</v>
      </c>
    </row>
    <row r="209" spans="1:7">
      <c r="A209" s="5" t="s">
        <v>2939</v>
      </c>
      <c r="B209" s="5" t="s">
        <v>876</v>
      </c>
      <c r="C209" s="5"/>
      <c r="D209" s="5" t="s">
        <v>1285</v>
      </c>
      <c r="E209" s="5" t="s">
        <v>940</v>
      </c>
      <c r="F209" s="5" t="s">
        <v>32</v>
      </c>
      <c r="G209" s="5" t="s">
        <v>2724</v>
      </c>
    </row>
    <row r="210" spans="1:7">
      <c r="A210" s="5" t="s">
        <v>2940</v>
      </c>
      <c r="B210" s="5" t="s">
        <v>876</v>
      </c>
      <c r="C210" s="5"/>
      <c r="D210" s="5" t="s">
        <v>1287</v>
      </c>
      <c r="E210" s="5" t="s">
        <v>880</v>
      </c>
      <c r="F210" s="5" t="s">
        <v>32</v>
      </c>
      <c r="G210" s="5" t="s">
        <v>2720</v>
      </c>
    </row>
    <row r="211" spans="1:7">
      <c r="A211" s="5" t="s">
        <v>2941</v>
      </c>
      <c r="B211" s="5" t="s">
        <v>876</v>
      </c>
      <c r="C211" s="5"/>
      <c r="D211" s="5" t="s">
        <v>1289</v>
      </c>
      <c r="E211" s="5" t="s">
        <v>66</v>
      </c>
      <c r="F211" s="5" t="s">
        <v>32</v>
      </c>
      <c r="G211" s="5" t="s">
        <v>2719</v>
      </c>
    </row>
    <row r="212" spans="1:7">
      <c r="A212" s="5" t="s">
        <v>2942</v>
      </c>
      <c r="B212" s="5" t="s">
        <v>876</v>
      </c>
      <c r="C212" s="5"/>
      <c r="D212" s="5" t="s">
        <v>920</v>
      </c>
      <c r="E212" s="5" t="s">
        <v>880</v>
      </c>
      <c r="F212" s="5" t="s">
        <v>32</v>
      </c>
      <c r="G212" s="5" t="s">
        <v>2720</v>
      </c>
    </row>
    <row r="213" spans="1:7">
      <c r="A213" s="5" t="s">
        <v>2943</v>
      </c>
      <c r="B213" s="5" t="s">
        <v>876</v>
      </c>
      <c r="C213" s="5"/>
      <c r="D213" s="5" t="s">
        <v>1292</v>
      </c>
      <c r="E213" s="5" t="s">
        <v>890</v>
      </c>
      <c r="F213" s="5" t="s">
        <v>32</v>
      </c>
      <c r="G213" s="5" t="s">
        <v>2722</v>
      </c>
    </row>
    <row r="214" spans="1:7">
      <c r="A214" s="5" t="s">
        <v>2944</v>
      </c>
      <c r="B214" s="5" t="s">
        <v>876</v>
      </c>
      <c r="C214" s="5"/>
      <c r="D214" s="5" t="s">
        <v>896</v>
      </c>
      <c r="E214" s="5" t="s">
        <v>880</v>
      </c>
      <c r="F214" s="5" t="s">
        <v>32</v>
      </c>
      <c r="G214" s="5" t="s">
        <v>2720</v>
      </c>
    </row>
    <row r="215" spans="1:7">
      <c r="A215" s="5" t="s">
        <v>2945</v>
      </c>
      <c r="B215" s="5" t="s">
        <v>876</v>
      </c>
      <c r="C215" s="5"/>
      <c r="D215" s="5" t="s">
        <v>1068</v>
      </c>
      <c r="E215" s="5" t="s">
        <v>42</v>
      </c>
      <c r="F215" s="5" t="s">
        <v>32</v>
      </c>
      <c r="G215" s="5" t="s">
        <v>2716</v>
      </c>
    </row>
    <row r="216" spans="1:7">
      <c r="A216" s="5" t="s">
        <v>2946</v>
      </c>
      <c r="B216" s="5" t="s">
        <v>876</v>
      </c>
      <c r="C216" s="5"/>
      <c r="D216" s="5" t="s">
        <v>879</v>
      </c>
      <c r="E216" s="5" t="s">
        <v>66</v>
      </c>
      <c r="F216" s="5" t="s">
        <v>32</v>
      </c>
      <c r="G216" s="5" t="s">
        <v>2719</v>
      </c>
    </row>
    <row r="217" spans="1:7">
      <c r="A217" s="5" t="s">
        <v>2947</v>
      </c>
      <c r="B217" s="5" t="s">
        <v>876</v>
      </c>
      <c r="C217" s="5"/>
      <c r="D217" s="5" t="s">
        <v>1297</v>
      </c>
      <c r="E217" s="5" t="s">
        <v>66</v>
      </c>
      <c r="F217" s="5" t="s">
        <v>32</v>
      </c>
      <c r="G217" s="5" t="s">
        <v>2719</v>
      </c>
    </row>
    <row r="218" spans="1:7">
      <c r="A218" s="5" t="s">
        <v>2948</v>
      </c>
      <c r="B218" s="5" t="s">
        <v>876</v>
      </c>
      <c r="C218" s="5"/>
      <c r="D218" s="5" t="s">
        <v>1299</v>
      </c>
      <c r="E218" s="5" t="s">
        <v>66</v>
      </c>
      <c r="F218" s="5" t="s">
        <v>32</v>
      </c>
      <c r="G218" s="5" t="s">
        <v>2719</v>
      </c>
    </row>
    <row r="219" spans="1:7">
      <c r="A219" s="5" t="s">
        <v>2949</v>
      </c>
      <c r="B219" s="5" t="s">
        <v>876</v>
      </c>
      <c r="C219" s="5"/>
      <c r="D219" s="5" t="s">
        <v>996</v>
      </c>
      <c r="E219" s="5" t="s">
        <v>66</v>
      </c>
      <c r="F219" s="5" t="s">
        <v>32</v>
      </c>
      <c r="G219" s="5" t="s">
        <v>2719</v>
      </c>
    </row>
    <row r="220" spans="1:7">
      <c r="A220" s="5" t="s">
        <v>2950</v>
      </c>
      <c r="B220" s="5" t="s">
        <v>876</v>
      </c>
      <c r="C220" s="5"/>
      <c r="D220" s="5" t="s">
        <v>1155</v>
      </c>
      <c r="E220" s="5" t="s">
        <v>890</v>
      </c>
      <c r="F220" s="5" t="s">
        <v>32</v>
      </c>
      <c r="G220" s="5" t="s">
        <v>2722</v>
      </c>
    </row>
    <row r="221" spans="1:7">
      <c r="A221" s="5" t="s">
        <v>2951</v>
      </c>
      <c r="B221" s="5" t="s">
        <v>876</v>
      </c>
      <c r="C221" s="5"/>
      <c r="D221" s="5" t="s">
        <v>1303</v>
      </c>
      <c r="E221" s="5" t="s">
        <v>66</v>
      </c>
      <c r="F221" s="5" t="s">
        <v>32</v>
      </c>
      <c r="G221" s="5" t="s">
        <v>2719</v>
      </c>
    </row>
    <row r="222" spans="1:7">
      <c r="A222" s="5" t="s">
        <v>2952</v>
      </c>
      <c r="B222" s="5" t="s">
        <v>876</v>
      </c>
      <c r="C222" s="5"/>
      <c r="D222" s="5" t="s">
        <v>1260</v>
      </c>
      <c r="E222" s="5" t="s">
        <v>66</v>
      </c>
      <c r="F222" s="5" t="s">
        <v>32</v>
      </c>
      <c r="G222" s="5" t="s">
        <v>2719</v>
      </c>
    </row>
    <row r="223" spans="1:7">
      <c r="A223" s="5" t="s">
        <v>2953</v>
      </c>
      <c r="B223" s="5" t="s">
        <v>876</v>
      </c>
      <c r="C223" s="5"/>
      <c r="D223" s="5" t="s">
        <v>1306</v>
      </c>
      <c r="E223" s="5" t="s">
        <v>66</v>
      </c>
      <c r="F223" s="5" t="s">
        <v>32</v>
      </c>
      <c r="G223" s="5" t="s">
        <v>2719</v>
      </c>
    </row>
    <row r="224" spans="1:7">
      <c r="A224" s="5" t="s">
        <v>2954</v>
      </c>
      <c r="B224" s="5" t="s">
        <v>876</v>
      </c>
      <c r="C224" s="5"/>
      <c r="D224" s="5" t="s">
        <v>1308</v>
      </c>
      <c r="E224" s="5" t="s">
        <v>880</v>
      </c>
      <c r="F224" s="5" t="s">
        <v>32</v>
      </c>
      <c r="G224" s="5" t="s">
        <v>2720</v>
      </c>
    </row>
    <row r="225" spans="1:7">
      <c r="A225" s="5" t="s">
        <v>2955</v>
      </c>
      <c r="B225" s="5" t="s">
        <v>876</v>
      </c>
      <c r="C225" s="5"/>
      <c r="D225" s="5" t="s">
        <v>1310</v>
      </c>
      <c r="E225" s="5" t="s">
        <v>66</v>
      </c>
      <c r="F225" s="5" t="s">
        <v>32</v>
      </c>
      <c r="G225" s="5" t="s">
        <v>2719</v>
      </c>
    </row>
    <row r="226" spans="1:7">
      <c r="A226" s="5" t="s">
        <v>2956</v>
      </c>
      <c r="B226" s="5" t="s">
        <v>876</v>
      </c>
      <c r="C226" s="5"/>
      <c r="D226" s="5" t="s">
        <v>1312</v>
      </c>
      <c r="E226" s="5" t="s">
        <v>31</v>
      </c>
      <c r="F226" s="5" t="s">
        <v>32</v>
      </c>
      <c r="G226" s="5" t="s">
        <v>2721</v>
      </c>
    </row>
    <row r="227" spans="1:7">
      <c r="A227" s="5" t="s">
        <v>2957</v>
      </c>
      <c r="B227" s="5" t="s">
        <v>876</v>
      </c>
      <c r="C227" s="5"/>
      <c r="D227" s="5" t="s">
        <v>1314</v>
      </c>
      <c r="E227" s="5" t="s">
        <v>66</v>
      </c>
      <c r="F227" s="5" t="s">
        <v>32</v>
      </c>
      <c r="G227" s="5" t="s">
        <v>2719</v>
      </c>
    </row>
    <row r="228" spans="1:7">
      <c r="A228" s="5" t="s">
        <v>2958</v>
      </c>
      <c r="B228" s="5" t="s">
        <v>876</v>
      </c>
      <c r="C228" s="5"/>
      <c r="D228" s="5" t="s">
        <v>1118</v>
      </c>
      <c r="E228" s="5" t="s">
        <v>880</v>
      </c>
      <c r="F228" s="5" t="s">
        <v>32</v>
      </c>
      <c r="G228" s="5" t="s">
        <v>2720</v>
      </c>
    </row>
    <row r="229" spans="1:7">
      <c r="A229" s="5" t="s">
        <v>2959</v>
      </c>
      <c r="B229" s="5" t="s">
        <v>876</v>
      </c>
      <c r="C229" s="5"/>
      <c r="D229" s="5" t="s">
        <v>1317</v>
      </c>
      <c r="E229" s="5" t="s">
        <v>42</v>
      </c>
      <c r="F229" s="5" t="s">
        <v>32</v>
      </c>
      <c r="G229" s="5" t="s">
        <v>2716</v>
      </c>
    </row>
    <row r="230" spans="1:7">
      <c r="A230" s="5" t="s">
        <v>2960</v>
      </c>
      <c r="B230" s="5" t="s">
        <v>876</v>
      </c>
      <c r="C230" s="5"/>
      <c r="D230" s="5" t="s">
        <v>1252</v>
      </c>
      <c r="E230" s="5" t="s">
        <v>66</v>
      </c>
      <c r="F230" s="5" t="s">
        <v>32</v>
      </c>
      <c r="G230" s="5" t="s">
        <v>2719</v>
      </c>
    </row>
    <row r="231" spans="1:7">
      <c r="A231" s="5" t="s">
        <v>2961</v>
      </c>
      <c r="B231" s="5" t="s">
        <v>876</v>
      </c>
      <c r="C231" s="5"/>
      <c r="D231" s="5" t="s">
        <v>1320</v>
      </c>
      <c r="E231" s="5" t="s">
        <v>880</v>
      </c>
      <c r="F231" s="5" t="s">
        <v>32</v>
      </c>
      <c r="G231" s="5" t="s">
        <v>2720</v>
      </c>
    </row>
    <row r="232" spans="1:7">
      <c r="A232" s="5" t="s">
        <v>2962</v>
      </c>
      <c r="B232" s="5" t="s">
        <v>876</v>
      </c>
      <c r="C232" s="5"/>
      <c r="D232" s="5" t="s">
        <v>1322</v>
      </c>
      <c r="E232" s="5" t="s">
        <v>66</v>
      </c>
      <c r="F232" s="5" t="s">
        <v>32</v>
      </c>
      <c r="G232" s="5" t="s">
        <v>2719</v>
      </c>
    </row>
    <row r="233" spans="1:7">
      <c r="A233" s="5" t="s">
        <v>2963</v>
      </c>
      <c r="B233" s="5" t="s">
        <v>876</v>
      </c>
      <c r="C233" s="5"/>
      <c r="D233" s="5" t="s">
        <v>1179</v>
      </c>
      <c r="E233" s="5" t="s">
        <v>880</v>
      </c>
      <c r="F233" s="5" t="s">
        <v>32</v>
      </c>
      <c r="G233" s="5" t="s">
        <v>2720</v>
      </c>
    </row>
    <row r="234" spans="1:7">
      <c r="A234" s="5" t="s">
        <v>2964</v>
      </c>
      <c r="B234" s="5" t="s">
        <v>876</v>
      </c>
      <c r="C234" s="5"/>
      <c r="D234" s="5" t="s">
        <v>974</v>
      </c>
      <c r="E234" s="5" t="s">
        <v>66</v>
      </c>
      <c r="F234" s="5" t="s">
        <v>32</v>
      </c>
      <c r="G234" s="5" t="s">
        <v>2719</v>
      </c>
    </row>
    <row r="235" spans="1:7">
      <c r="A235" s="5" t="s">
        <v>2965</v>
      </c>
      <c r="B235" s="5" t="s">
        <v>876</v>
      </c>
      <c r="C235" s="5"/>
      <c r="D235" s="5" t="s">
        <v>1326</v>
      </c>
      <c r="E235" s="5" t="s">
        <v>66</v>
      </c>
      <c r="F235" s="5" t="s">
        <v>32</v>
      </c>
      <c r="G235" s="5" t="s">
        <v>2719</v>
      </c>
    </row>
    <row r="236" spans="1:7">
      <c r="A236" s="5" t="s">
        <v>2966</v>
      </c>
      <c r="B236" s="5" t="s">
        <v>876</v>
      </c>
      <c r="C236" s="5"/>
      <c r="D236" s="5" t="s">
        <v>1328</v>
      </c>
      <c r="E236" s="5" t="s">
        <v>1015</v>
      </c>
      <c r="F236" s="5" t="s">
        <v>32</v>
      </c>
      <c r="G236" s="5" t="s">
        <v>2726</v>
      </c>
    </row>
    <row r="237" spans="1:7">
      <c r="A237" s="5" t="s">
        <v>2967</v>
      </c>
      <c r="B237" s="5" t="s">
        <v>876</v>
      </c>
      <c r="C237" s="5"/>
      <c r="D237" s="5" t="s">
        <v>1330</v>
      </c>
      <c r="E237" s="5" t="s">
        <v>930</v>
      </c>
      <c r="F237" s="5" t="s">
        <v>32</v>
      </c>
      <c r="G237" s="5" t="s">
        <v>2723</v>
      </c>
    </row>
    <row r="238" spans="1:7">
      <c r="A238" s="5" t="s">
        <v>2968</v>
      </c>
      <c r="B238" s="5" t="s">
        <v>876</v>
      </c>
      <c r="C238" s="5"/>
      <c r="D238" s="5" t="s">
        <v>1332</v>
      </c>
      <c r="E238" s="5" t="s">
        <v>940</v>
      </c>
      <c r="F238" s="5" t="s">
        <v>32</v>
      </c>
      <c r="G238" s="5" t="s">
        <v>2724</v>
      </c>
    </row>
    <row r="239" spans="1:7">
      <c r="A239" s="5" t="s">
        <v>2969</v>
      </c>
      <c r="B239" s="5" t="s">
        <v>876</v>
      </c>
      <c r="C239" s="5"/>
      <c r="D239" s="5" t="s">
        <v>1334</v>
      </c>
      <c r="E239" s="5" t="s">
        <v>66</v>
      </c>
      <c r="F239" s="5" t="s">
        <v>32</v>
      </c>
      <c r="G239" s="5" t="s">
        <v>2719</v>
      </c>
    </row>
    <row r="240" spans="1:7">
      <c r="A240" s="5" t="s">
        <v>2970</v>
      </c>
      <c r="B240" s="5" t="s">
        <v>876</v>
      </c>
      <c r="C240" s="5"/>
      <c r="D240" s="5" t="s">
        <v>1336</v>
      </c>
      <c r="E240" s="5" t="s">
        <v>880</v>
      </c>
      <c r="F240" s="5" t="s">
        <v>32</v>
      </c>
      <c r="G240" s="5" t="s">
        <v>2720</v>
      </c>
    </row>
    <row r="241" spans="1:7">
      <c r="A241" s="5" t="s">
        <v>2971</v>
      </c>
      <c r="B241" s="5" t="s">
        <v>876</v>
      </c>
      <c r="C241" s="5"/>
      <c r="D241" s="5" t="s">
        <v>1338</v>
      </c>
      <c r="E241" s="5" t="s">
        <v>66</v>
      </c>
      <c r="F241" s="5" t="s">
        <v>32</v>
      </c>
      <c r="G241" s="5" t="s">
        <v>2719</v>
      </c>
    </row>
    <row r="242" spans="1:7">
      <c r="A242" s="5" t="s">
        <v>2972</v>
      </c>
      <c r="B242" s="5" t="s">
        <v>876</v>
      </c>
      <c r="C242" s="5"/>
      <c r="D242" s="5" t="s">
        <v>987</v>
      </c>
      <c r="E242" s="5" t="s">
        <v>66</v>
      </c>
      <c r="F242" s="5" t="s">
        <v>32</v>
      </c>
      <c r="G242" s="5" t="s">
        <v>2719</v>
      </c>
    </row>
    <row r="243" spans="1:7">
      <c r="A243" s="5" t="s">
        <v>2973</v>
      </c>
      <c r="B243" s="5" t="s">
        <v>876</v>
      </c>
      <c r="C243" s="5"/>
      <c r="D243" s="5" t="s">
        <v>1341</v>
      </c>
      <c r="E243" s="5" t="s">
        <v>880</v>
      </c>
      <c r="F243" s="5" t="s">
        <v>32</v>
      </c>
      <c r="G243" s="5" t="s">
        <v>2720</v>
      </c>
    </row>
    <row r="244" spans="1:7">
      <c r="A244" s="5" t="s">
        <v>2974</v>
      </c>
      <c r="B244" s="5" t="s">
        <v>876</v>
      </c>
      <c r="C244" s="5"/>
      <c r="D244" s="5" t="s">
        <v>1343</v>
      </c>
      <c r="E244" s="5" t="s">
        <v>42</v>
      </c>
      <c r="F244" s="5" t="s">
        <v>32</v>
      </c>
      <c r="G244" s="5" t="s">
        <v>2716</v>
      </c>
    </row>
    <row r="245" spans="1:7">
      <c r="A245" s="5" t="s">
        <v>2975</v>
      </c>
      <c r="B245" s="5" t="s">
        <v>876</v>
      </c>
      <c r="C245" s="5"/>
      <c r="D245" s="5" t="s">
        <v>1345</v>
      </c>
      <c r="E245" s="5" t="s">
        <v>940</v>
      </c>
      <c r="F245" s="5" t="s">
        <v>32</v>
      </c>
      <c r="G245" s="5" t="s">
        <v>2724</v>
      </c>
    </row>
    <row r="246" spans="1:7">
      <c r="A246" s="5" t="s">
        <v>2976</v>
      </c>
      <c r="B246" s="5" t="s">
        <v>876</v>
      </c>
      <c r="C246" s="5"/>
      <c r="D246" s="5" t="s">
        <v>1074</v>
      </c>
      <c r="E246" s="5" t="s">
        <v>890</v>
      </c>
      <c r="F246" s="5" t="s">
        <v>32</v>
      </c>
      <c r="G246" s="5" t="s">
        <v>2722</v>
      </c>
    </row>
    <row r="247" spans="1:7">
      <c r="A247" s="5" t="s">
        <v>2977</v>
      </c>
      <c r="B247" s="5" t="s">
        <v>876</v>
      </c>
      <c r="C247" s="5"/>
      <c r="D247" s="5" t="s">
        <v>1348</v>
      </c>
      <c r="E247" s="5" t="s">
        <v>880</v>
      </c>
      <c r="F247" s="5" t="s">
        <v>32</v>
      </c>
      <c r="G247" s="5" t="s">
        <v>2720</v>
      </c>
    </row>
    <row r="248" spans="1:7">
      <c r="A248" s="5" t="s">
        <v>2978</v>
      </c>
      <c r="B248" s="5" t="s">
        <v>876</v>
      </c>
      <c r="C248" s="5"/>
      <c r="D248" s="5" t="s">
        <v>1146</v>
      </c>
      <c r="E248" s="5" t="s">
        <v>880</v>
      </c>
      <c r="F248" s="5" t="s">
        <v>32</v>
      </c>
      <c r="G248" s="5" t="s">
        <v>2720</v>
      </c>
    </row>
    <row r="249" spans="1:7">
      <c r="A249" s="5" t="s">
        <v>2979</v>
      </c>
      <c r="B249" s="5" t="s">
        <v>876</v>
      </c>
      <c r="C249" s="5"/>
      <c r="D249" s="5" t="s">
        <v>993</v>
      </c>
      <c r="E249" s="5" t="s">
        <v>66</v>
      </c>
      <c r="F249" s="5" t="s">
        <v>32</v>
      </c>
      <c r="G249" s="5" t="s">
        <v>2719</v>
      </c>
    </row>
    <row r="250" spans="1:7">
      <c r="A250" s="5" t="s">
        <v>2980</v>
      </c>
      <c r="B250" s="5" t="s">
        <v>876</v>
      </c>
      <c r="C250" s="5"/>
      <c r="D250" s="5" t="s">
        <v>1172</v>
      </c>
      <c r="E250" s="5" t="s">
        <v>66</v>
      </c>
      <c r="F250" s="5" t="s">
        <v>32</v>
      </c>
      <c r="G250" s="5" t="s">
        <v>2719</v>
      </c>
    </row>
    <row r="251" spans="1:7">
      <c r="A251" s="5" t="s">
        <v>2981</v>
      </c>
      <c r="B251" s="5" t="s">
        <v>876</v>
      </c>
      <c r="C251" s="5"/>
      <c r="D251" s="5" t="s">
        <v>1353</v>
      </c>
      <c r="E251" s="5" t="s">
        <v>880</v>
      </c>
      <c r="F251" s="5" t="s">
        <v>32</v>
      </c>
      <c r="G251" s="5" t="s">
        <v>2720</v>
      </c>
    </row>
    <row r="252" spans="1:7">
      <c r="A252" s="5" t="s">
        <v>2982</v>
      </c>
      <c r="B252" s="5" t="s">
        <v>876</v>
      </c>
      <c r="C252" s="5"/>
      <c r="D252" s="5" t="s">
        <v>1355</v>
      </c>
      <c r="E252" s="5" t="s">
        <v>880</v>
      </c>
      <c r="F252" s="5" t="s">
        <v>32</v>
      </c>
      <c r="G252" s="5" t="s">
        <v>2720</v>
      </c>
    </row>
    <row r="253" spans="1:7">
      <c r="A253" s="5" t="s">
        <v>2983</v>
      </c>
      <c r="B253" s="5" t="s">
        <v>876</v>
      </c>
      <c r="C253" s="5"/>
      <c r="D253" s="5" t="s">
        <v>1357</v>
      </c>
      <c r="E253" s="5" t="s">
        <v>42</v>
      </c>
      <c r="F253" s="5" t="s">
        <v>32</v>
      </c>
      <c r="G253" s="5" t="s">
        <v>2716</v>
      </c>
    </row>
    <row r="254" spans="1:7">
      <c r="A254" s="5" t="s">
        <v>2984</v>
      </c>
      <c r="B254" s="5" t="s">
        <v>876</v>
      </c>
      <c r="C254" s="5"/>
      <c r="D254" s="5" t="s">
        <v>1098</v>
      </c>
      <c r="E254" s="5" t="s">
        <v>66</v>
      </c>
      <c r="F254" s="5" t="s">
        <v>32</v>
      </c>
      <c r="G254" s="5" t="s">
        <v>2719</v>
      </c>
    </row>
    <row r="255" spans="1:7">
      <c r="A255" s="5" t="s">
        <v>2985</v>
      </c>
      <c r="B255" s="5" t="s">
        <v>876</v>
      </c>
      <c r="C255" s="5"/>
      <c r="D255" s="5" t="s">
        <v>925</v>
      </c>
      <c r="E255" s="5" t="s">
        <v>890</v>
      </c>
      <c r="F255" s="5" t="s">
        <v>32</v>
      </c>
      <c r="G255" s="5" t="s">
        <v>2722</v>
      </c>
    </row>
    <row r="256" spans="1:7">
      <c r="A256" s="5" t="s">
        <v>2986</v>
      </c>
      <c r="B256" s="5" t="s">
        <v>876</v>
      </c>
      <c r="C256" s="5"/>
      <c r="D256" s="5" t="s">
        <v>1066</v>
      </c>
      <c r="E256" s="5" t="s">
        <v>66</v>
      </c>
      <c r="F256" s="5" t="s">
        <v>32</v>
      </c>
      <c r="G256" s="5" t="s">
        <v>2719</v>
      </c>
    </row>
    <row r="257" spans="1:7">
      <c r="A257" s="5" t="s">
        <v>2987</v>
      </c>
      <c r="B257" s="5" t="s">
        <v>876</v>
      </c>
      <c r="C257" s="5"/>
      <c r="D257" s="5" t="s">
        <v>1362</v>
      </c>
      <c r="E257" s="5" t="s">
        <v>890</v>
      </c>
      <c r="F257" s="5" t="s">
        <v>32</v>
      </c>
      <c r="G257" s="5" t="s">
        <v>2722</v>
      </c>
    </row>
    <row r="258" spans="1:7">
      <c r="A258" s="5" t="s">
        <v>2988</v>
      </c>
      <c r="B258" s="5" t="s">
        <v>876</v>
      </c>
      <c r="C258" s="5"/>
      <c r="D258" s="5" t="s">
        <v>1364</v>
      </c>
      <c r="E258" s="5" t="s">
        <v>890</v>
      </c>
      <c r="F258" s="5" t="s">
        <v>32</v>
      </c>
      <c r="G258" s="5" t="s">
        <v>2722</v>
      </c>
    </row>
    <row r="259" spans="1:7">
      <c r="A259" s="5" t="s">
        <v>2989</v>
      </c>
      <c r="B259" s="5" t="s">
        <v>876</v>
      </c>
      <c r="C259" s="5"/>
      <c r="D259" s="5" t="s">
        <v>1366</v>
      </c>
      <c r="E259" s="5" t="s">
        <v>890</v>
      </c>
      <c r="F259" s="5" t="s">
        <v>32</v>
      </c>
      <c r="G259" s="5" t="s">
        <v>2722</v>
      </c>
    </row>
    <row r="260" spans="1:7">
      <c r="A260" s="5" t="s">
        <v>2990</v>
      </c>
      <c r="B260" s="5" t="s">
        <v>876</v>
      </c>
      <c r="C260" s="5"/>
      <c r="D260" s="5" t="s">
        <v>1368</v>
      </c>
      <c r="E260" s="5" t="s">
        <v>930</v>
      </c>
      <c r="F260" s="5" t="s">
        <v>32</v>
      </c>
      <c r="G260" s="5" t="s">
        <v>2723</v>
      </c>
    </row>
    <row r="261" spans="1:7">
      <c r="A261" s="5" t="s">
        <v>2991</v>
      </c>
      <c r="B261" s="5" t="s">
        <v>876</v>
      </c>
      <c r="C261" s="5"/>
      <c r="D261" s="5" t="s">
        <v>1370</v>
      </c>
      <c r="E261" s="5" t="s">
        <v>66</v>
      </c>
      <c r="F261" s="5" t="s">
        <v>32</v>
      </c>
      <c r="G261" s="5" t="s">
        <v>2719</v>
      </c>
    </row>
    <row r="262" spans="1:7">
      <c r="A262" s="5" t="s">
        <v>2992</v>
      </c>
      <c r="B262" s="5" t="s">
        <v>876</v>
      </c>
      <c r="C262" s="5"/>
      <c r="D262" s="5" t="s">
        <v>51</v>
      </c>
      <c r="E262" s="5" t="s">
        <v>42</v>
      </c>
      <c r="F262" s="5" t="s">
        <v>32</v>
      </c>
      <c r="G262" s="5" t="s">
        <v>2716</v>
      </c>
    </row>
    <row r="263" spans="1:7">
      <c r="A263" s="5" t="s">
        <v>2993</v>
      </c>
      <c r="B263" s="5" t="s">
        <v>876</v>
      </c>
      <c r="C263" s="5"/>
      <c r="D263" s="5" t="s">
        <v>1373</v>
      </c>
      <c r="E263" s="5" t="s">
        <v>66</v>
      </c>
      <c r="F263" s="5" t="s">
        <v>32</v>
      </c>
      <c r="G263" s="5" t="s">
        <v>2719</v>
      </c>
    </row>
    <row r="264" spans="1:7">
      <c r="A264" s="5" t="s">
        <v>2994</v>
      </c>
      <c r="B264" s="5" t="s">
        <v>876</v>
      </c>
      <c r="C264" s="5"/>
      <c r="D264" s="5" t="s">
        <v>884</v>
      </c>
      <c r="E264" s="5" t="s">
        <v>66</v>
      </c>
      <c r="F264" s="5" t="s">
        <v>32</v>
      </c>
      <c r="G264" s="5" t="s">
        <v>2719</v>
      </c>
    </row>
    <row r="265" spans="1:7">
      <c r="A265" s="5" t="s">
        <v>2995</v>
      </c>
      <c r="B265" s="5" t="s">
        <v>876</v>
      </c>
      <c r="C265" s="5"/>
      <c r="D265" s="5" t="s">
        <v>1376</v>
      </c>
      <c r="E265" s="5" t="s">
        <v>66</v>
      </c>
      <c r="F265" s="5" t="s">
        <v>32</v>
      </c>
      <c r="G265" s="5" t="s">
        <v>2719</v>
      </c>
    </row>
    <row r="266" spans="1:7">
      <c r="A266" s="5" t="s">
        <v>2996</v>
      </c>
      <c r="B266" s="5" t="s">
        <v>876</v>
      </c>
      <c r="C266" s="5"/>
      <c r="D266" s="5" t="s">
        <v>1378</v>
      </c>
      <c r="E266" s="5" t="s">
        <v>66</v>
      </c>
      <c r="F266" s="5" t="s">
        <v>32</v>
      </c>
      <c r="G266" s="5" t="s">
        <v>2719</v>
      </c>
    </row>
    <row r="267" spans="1:7">
      <c r="A267" s="5" t="s">
        <v>2997</v>
      </c>
      <c r="B267" s="5" t="s">
        <v>876</v>
      </c>
      <c r="C267" s="5"/>
      <c r="D267" s="5" t="s">
        <v>1380</v>
      </c>
      <c r="E267" s="5" t="s">
        <v>66</v>
      </c>
      <c r="F267" s="5" t="s">
        <v>32</v>
      </c>
      <c r="G267" s="5" t="s">
        <v>2719</v>
      </c>
    </row>
    <row r="268" spans="1:7">
      <c r="A268" s="5" t="s">
        <v>2998</v>
      </c>
      <c r="B268" s="5" t="s">
        <v>876</v>
      </c>
      <c r="C268" s="5"/>
      <c r="D268" s="5" t="s">
        <v>1382</v>
      </c>
      <c r="E268" s="5" t="s">
        <v>31</v>
      </c>
      <c r="F268" s="5" t="s">
        <v>32</v>
      </c>
      <c r="G268" s="5" t="s">
        <v>2721</v>
      </c>
    </row>
    <row r="269" spans="1:7">
      <c r="A269" s="5" t="s">
        <v>2999</v>
      </c>
      <c r="B269" s="5" t="s">
        <v>876</v>
      </c>
      <c r="C269" s="5"/>
      <c r="D269" s="5" t="s">
        <v>1353</v>
      </c>
      <c r="E269" s="5" t="s">
        <v>31</v>
      </c>
      <c r="F269" s="5" t="s">
        <v>32</v>
      </c>
      <c r="G269" s="5" t="s">
        <v>2721</v>
      </c>
    </row>
    <row r="270" spans="1:7">
      <c r="A270" s="5" t="s">
        <v>3000</v>
      </c>
      <c r="B270" s="5" t="s">
        <v>876</v>
      </c>
      <c r="C270" s="5"/>
      <c r="D270" s="5" t="s">
        <v>1385</v>
      </c>
      <c r="E270" s="5" t="s">
        <v>42</v>
      </c>
      <c r="F270" s="5" t="s">
        <v>32</v>
      </c>
      <c r="G270" s="5" t="s">
        <v>2716</v>
      </c>
    </row>
    <row r="271" spans="1:7">
      <c r="A271" s="5" t="s">
        <v>3001</v>
      </c>
      <c r="B271" s="5" t="s">
        <v>876</v>
      </c>
      <c r="C271" s="5"/>
      <c r="D271" s="5" t="s">
        <v>1387</v>
      </c>
      <c r="E271" s="5" t="s">
        <v>890</v>
      </c>
      <c r="F271" s="5" t="s">
        <v>32</v>
      </c>
      <c r="G271" s="5" t="s">
        <v>2722</v>
      </c>
    </row>
    <row r="272" spans="1:7">
      <c r="A272" s="5" t="s">
        <v>3002</v>
      </c>
      <c r="B272" s="5" t="s">
        <v>876</v>
      </c>
      <c r="C272" s="5"/>
      <c r="D272" s="5" t="s">
        <v>1389</v>
      </c>
      <c r="E272" s="5" t="s">
        <v>42</v>
      </c>
      <c r="F272" s="5" t="s">
        <v>32</v>
      </c>
      <c r="G272" s="5" t="s">
        <v>2716</v>
      </c>
    </row>
    <row r="273" spans="1:7">
      <c r="A273" s="5" t="s">
        <v>3003</v>
      </c>
      <c r="B273" s="5" t="s">
        <v>876</v>
      </c>
      <c r="C273" s="5"/>
      <c r="D273" s="5" t="s">
        <v>1391</v>
      </c>
      <c r="E273" s="5" t="s">
        <v>66</v>
      </c>
      <c r="F273" s="5" t="s">
        <v>32</v>
      </c>
      <c r="G273" s="5" t="s">
        <v>2719</v>
      </c>
    </row>
    <row r="274" spans="1:7">
      <c r="A274" s="5" t="s">
        <v>3004</v>
      </c>
      <c r="B274" s="5" t="s">
        <v>876</v>
      </c>
      <c r="C274" s="5"/>
      <c r="D274" s="5" t="s">
        <v>1393</v>
      </c>
      <c r="E274" s="5" t="s">
        <v>66</v>
      </c>
      <c r="F274" s="5" t="s">
        <v>32</v>
      </c>
      <c r="G274" s="5" t="s">
        <v>2719</v>
      </c>
    </row>
    <row r="275" spans="1:7">
      <c r="A275" s="5" t="s">
        <v>3005</v>
      </c>
      <c r="B275" s="5" t="s">
        <v>876</v>
      </c>
      <c r="C275" s="5"/>
      <c r="D275" s="5" t="s">
        <v>1395</v>
      </c>
      <c r="E275" s="5" t="s">
        <v>880</v>
      </c>
      <c r="F275" s="5" t="s">
        <v>32</v>
      </c>
      <c r="G275" s="5" t="s">
        <v>2720</v>
      </c>
    </row>
    <row r="276" spans="1:7">
      <c r="A276" s="5" t="s">
        <v>3006</v>
      </c>
      <c r="B276" s="5" t="s">
        <v>876</v>
      </c>
      <c r="C276" s="5"/>
      <c r="D276" s="5" t="s">
        <v>1397</v>
      </c>
      <c r="E276" s="5" t="s">
        <v>31</v>
      </c>
      <c r="F276" s="5" t="s">
        <v>32</v>
      </c>
      <c r="G276" s="5" t="s">
        <v>2721</v>
      </c>
    </row>
    <row r="277" spans="1:7">
      <c r="A277" s="5" t="s">
        <v>3007</v>
      </c>
      <c r="B277" s="5" t="s">
        <v>876</v>
      </c>
      <c r="C277" s="5"/>
      <c r="D277" s="5" t="s">
        <v>1028</v>
      </c>
      <c r="E277" s="5" t="s">
        <v>66</v>
      </c>
      <c r="F277" s="5" t="s">
        <v>32</v>
      </c>
      <c r="G277" s="5" t="s">
        <v>2719</v>
      </c>
    </row>
    <row r="278" spans="1:7">
      <c r="A278" s="5" t="s">
        <v>3008</v>
      </c>
      <c r="B278" s="5" t="s">
        <v>876</v>
      </c>
      <c r="C278" s="5"/>
      <c r="D278" s="5" t="s">
        <v>1400</v>
      </c>
      <c r="E278" s="5" t="s">
        <v>930</v>
      </c>
      <c r="F278" s="5" t="s">
        <v>32</v>
      </c>
      <c r="G278" s="5" t="s">
        <v>2723</v>
      </c>
    </row>
    <row r="279" spans="1:7">
      <c r="A279" s="5" t="s">
        <v>3009</v>
      </c>
      <c r="B279" s="5" t="s">
        <v>876</v>
      </c>
      <c r="C279" s="5"/>
      <c r="D279" s="5" t="s">
        <v>1376</v>
      </c>
      <c r="E279" s="5" t="s">
        <v>890</v>
      </c>
      <c r="F279" s="5" t="s">
        <v>32</v>
      </c>
      <c r="G279" s="5" t="s">
        <v>2722</v>
      </c>
    </row>
    <row r="280" spans="1:7">
      <c r="A280" s="5" t="s">
        <v>3010</v>
      </c>
      <c r="B280" s="5" t="s">
        <v>876</v>
      </c>
      <c r="C280" s="5"/>
      <c r="D280" s="5" t="s">
        <v>1403</v>
      </c>
      <c r="E280" s="5" t="s">
        <v>1015</v>
      </c>
      <c r="F280" s="5" t="s">
        <v>32</v>
      </c>
      <c r="G280" s="5" t="s">
        <v>2726</v>
      </c>
    </row>
    <row r="281" spans="1:7">
      <c r="A281" s="5" t="s">
        <v>3011</v>
      </c>
      <c r="B281" s="5" t="s">
        <v>876</v>
      </c>
      <c r="C281" s="5"/>
      <c r="D281" s="5" t="s">
        <v>1053</v>
      </c>
      <c r="E281" s="5" t="s">
        <v>66</v>
      </c>
      <c r="F281" s="5" t="s">
        <v>32</v>
      </c>
      <c r="G281" s="5" t="s">
        <v>2719</v>
      </c>
    </row>
    <row r="282" spans="1:7">
      <c r="A282" s="5" t="s">
        <v>3012</v>
      </c>
      <c r="B282" s="5" t="s">
        <v>876</v>
      </c>
      <c r="C282" s="5"/>
      <c r="D282" s="5" t="s">
        <v>1406</v>
      </c>
      <c r="E282" s="5" t="s">
        <v>66</v>
      </c>
      <c r="F282" s="5" t="s">
        <v>32</v>
      </c>
      <c r="G282" s="5" t="s">
        <v>2719</v>
      </c>
    </row>
    <row r="283" spans="1:7">
      <c r="A283" s="5" t="s">
        <v>3013</v>
      </c>
      <c r="B283" s="5" t="s">
        <v>876</v>
      </c>
      <c r="C283" s="5"/>
      <c r="D283" s="5" t="s">
        <v>1334</v>
      </c>
      <c r="E283" s="5" t="s">
        <v>880</v>
      </c>
      <c r="F283" s="5" t="s">
        <v>32</v>
      </c>
      <c r="G283" s="5" t="s">
        <v>2720</v>
      </c>
    </row>
    <row r="284" spans="1:7">
      <c r="A284" s="5" t="s">
        <v>3014</v>
      </c>
      <c r="B284" s="5" t="s">
        <v>876</v>
      </c>
      <c r="C284" s="5"/>
      <c r="D284" s="5" t="s">
        <v>1409</v>
      </c>
      <c r="E284" s="5" t="s">
        <v>890</v>
      </c>
      <c r="F284" s="5" t="s">
        <v>32</v>
      </c>
      <c r="G284" s="5" t="s">
        <v>2722</v>
      </c>
    </row>
    <row r="285" spans="1:7">
      <c r="A285" s="5" t="s">
        <v>3015</v>
      </c>
      <c r="B285" s="5" t="s">
        <v>876</v>
      </c>
      <c r="C285" s="5"/>
      <c r="D285" s="5" t="s">
        <v>1411</v>
      </c>
      <c r="E285" s="5" t="s">
        <v>940</v>
      </c>
      <c r="F285" s="5" t="s">
        <v>32</v>
      </c>
      <c r="G285" s="5" t="s">
        <v>2724</v>
      </c>
    </row>
    <row r="286" spans="1:7">
      <c r="A286" s="5" t="s">
        <v>3016</v>
      </c>
      <c r="B286" s="5" t="s">
        <v>876</v>
      </c>
      <c r="C286" s="5"/>
      <c r="D286" s="5" t="s">
        <v>1303</v>
      </c>
      <c r="E286" s="5" t="s">
        <v>880</v>
      </c>
      <c r="F286" s="5" t="s">
        <v>32</v>
      </c>
      <c r="G286" s="5" t="s">
        <v>2720</v>
      </c>
    </row>
    <row r="287" spans="1:7">
      <c r="A287" s="5" t="s">
        <v>3017</v>
      </c>
      <c r="B287" s="5" t="s">
        <v>876</v>
      </c>
      <c r="C287" s="5"/>
      <c r="D287" s="5" t="s">
        <v>1336</v>
      </c>
      <c r="E287" s="5" t="s">
        <v>66</v>
      </c>
      <c r="F287" s="5" t="s">
        <v>32</v>
      </c>
      <c r="G287" s="5" t="s">
        <v>2719</v>
      </c>
    </row>
    <row r="288" spans="1:7">
      <c r="A288" s="5" t="s">
        <v>3018</v>
      </c>
      <c r="B288" s="5" t="s">
        <v>876</v>
      </c>
      <c r="C288" s="5"/>
      <c r="D288" s="5" t="s">
        <v>1415</v>
      </c>
      <c r="E288" s="5" t="s">
        <v>42</v>
      </c>
      <c r="F288" s="5" t="s">
        <v>32</v>
      </c>
      <c r="G288" s="5" t="s">
        <v>2716</v>
      </c>
    </row>
    <row r="289" spans="1:7">
      <c r="A289" s="5" t="s">
        <v>3019</v>
      </c>
      <c r="B289" s="5" t="s">
        <v>876</v>
      </c>
      <c r="C289" s="5"/>
      <c r="D289" s="5" t="s">
        <v>1124</v>
      </c>
      <c r="E289" s="5" t="s">
        <v>66</v>
      </c>
      <c r="F289" s="5" t="s">
        <v>32</v>
      </c>
      <c r="G289" s="5" t="s">
        <v>2719</v>
      </c>
    </row>
    <row r="290" spans="1:7">
      <c r="A290" s="5" t="s">
        <v>3020</v>
      </c>
      <c r="B290" s="5" t="s">
        <v>876</v>
      </c>
      <c r="C290" s="5"/>
      <c r="D290" s="5" t="s">
        <v>1072</v>
      </c>
      <c r="E290" s="5" t="s">
        <v>66</v>
      </c>
      <c r="F290" s="5" t="s">
        <v>32</v>
      </c>
      <c r="G290" s="5" t="s">
        <v>2719</v>
      </c>
    </row>
    <row r="291" spans="1:7">
      <c r="A291" s="5" t="s">
        <v>3021</v>
      </c>
      <c r="B291" s="5" t="s">
        <v>876</v>
      </c>
      <c r="C291" s="5"/>
      <c r="D291" s="5" t="s">
        <v>1419</v>
      </c>
      <c r="E291" s="5" t="s">
        <v>940</v>
      </c>
      <c r="F291" s="5" t="s">
        <v>32</v>
      </c>
      <c r="G291" s="5" t="s">
        <v>2724</v>
      </c>
    </row>
    <row r="292" spans="1:7">
      <c r="A292" s="5" t="s">
        <v>3022</v>
      </c>
      <c r="B292" s="5" t="s">
        <v>876</v>
      </c>
      <c r="C292" s="5"/>
      <c r="D292" s="5" t="s">
        <v>1308</v>
      </c>
      <c r="E292" s="5" t="s">
        <v>66</v>
      </c>
      <c r="F292" s="5" t="s">
        <v>32</v>
      </c>
      <c r="G292" s="5" t="s">
        <v>2719</v>
      </c>
    </row>
    <row r="293" spans="1:7">
      <c r="A293" s="5" t="s">
        <v>3023</v>
      </c>
      <c r="B293" s="5" t="s">
        <v>876</v>
      </c>
      <c r="C293" s="5"/>
      <c r="D293" s="5" t="s">
        <v>1422</v>
      </c>
      <c r="E293" s="5" t="s">
        <v>66</v>
      </c>
      <c r="F293" s="5" t="s">
        <v>32</v>
      </c>
      <c r="G293" s="5" t="s">
        <v>2719</v>
      </c>
    </row>
    <row r="294" spans="1:7">
      <c r="A294" s="5" t="s">
        <v>3024</v>
      </c>
      <c r="B294" s="5" t="s">
        <v>876</v>
      </c>
      <c r="C294" s="5"/>
      <c r="D294" s="5" t="s">
        <v>1424</v>
      </c>
      <c r="E294" s="5" t="s">
        <v>890</v>
      </c>
      <c r="F294" s="5" t="s">
        <v>32</v>
      </c>
      <c r="G294" s="5" t="s">
        <v>2722</v>
      </c>
    </row>
    <row r="295" spans="1:7">
      <c r="A295" s="5" t="s">
        <v>3025</v>
      </c>
      <c r="B295" s="5" t="s">
        <v>876</v>
      </c>
      <c r="C295" s="5"/>
      <c r="D295" s="5" t="s">
        <v>1289</v>
      </c>
      <c r="E295" s="5" t="s">
        <v>880</v>
      </c>
      <c r="F295" s="5" t="s">
        <v>32</v>
      </c>
      <c r="G295" s="5" t="s">
        <v>2720</v>
      </c>
    </row>
    <row r="296" spans="1:7">
      <c r="A296" s="5" t="s">
        <v>3026</v>
      </c>
      <c r="B296" s="5" t="s">
        <v>876</v>
      </c>
      <c r="C296" s="5"/>
      <c r="D296" s="5" t="s">
        <v>1002</v>
      </c>
      <c r="E296" s="5" t="s">
        <v>880</v>
      </c>
      <c r="F296" s="5" t="s">
        <v>32</v>
      </c>
      <c r="G296" s="5" t="s">
        <v>2720</v>
      </c>
    </row>
    <row r="297" spans="1:7">
      <c r="A297" s="5" t="s">
        <v>3027</v>
      </c>
      <c r="B297" s="5" t="s">
        <v>876</v>
      </c>
      <c r="C297" s="5"/>
      <c r="D297" s="5" t="s">
        <v>998</v>
      </c>
      <c r="E297" s="5" t="s">
        <v>66</v>
      </c>
      <c r="F297" s="5" t="s">
        <v>32</v>
      </c>
      <c r="G297" s="5" t="s">
        <v>2719</v>
      </c>
    </row>
    <row r="298" spans="1:7">
      <c r="A298" s="5" t="s">
        <v>3028</v>
      </c>
      <c r="B298" s="5" t="s">
        <v>876</v>
      </c>
      <c r="C298" s="5"/>
      <c r="D298" s="5" t="s">
        <v>1409</v>
      </c>
      <c r="E298" s="5" t="s">
        <v>66</v>
      </c>
      <c r="F298" s="5" t="s">
        <v>32</v>
      </c>
      <c r="G298" s="5" t="s">
        <v>2719</v>
      </c>
    </row>
    <row r="299" spans="1:7">
      <c r="A299" s="5" t="s">
        <v>3029</v>
      </c>
      <c r="B299" s="5" t="s">
        <v>876</v>
      </c>
      <c r="C299" s="5"/>
      <c r="D299" s="5" t="s">
        <v>1430</v>
      </c>
      <c r="E299" s="5" t="s">
        <v>42</v>
      </c>
      <c r="F299" s="5" t="s">
        <v>32</v>
      </c>
      <c r="G299" s="5" t="s">
        <v>2716</v>
      </c>
    </row>
    <row r="300" spans="1:7">
      <c r="A300" s="5" t="s">
        <v>3030</v>
      </c>
      <c r="B300" s="5" t="s">
        <v>876</v>
      </c>
      <c r="C300" s="5"/>
      <c r="D300" s="5" t="s">
        <v>1049</v>
      </c>
      <c r="E300" s="5" t="s">
        <v>880</v>
      </c>
      <c r="F300" s="5" t="s">
        <v>32</v>
      </c>
      <c r="G300" s="5" t="s">
        <v>2720</v>
      </c>
    </row>
    <row r="301" spans="1:7">
      <c r="A301" s="5" t="s">
        <v>3031</v>
      </c>
      <c r="B301" s="5" t="s">
        <v>876</v>
      </c>
      <c r="C301" s="5"/>
      <c r="D301" s="5" t="s">
        <v>1320</v>
      </c>
      <c r="E301" s="5" t="s">
        <v>66</v>
      </c>
      <c r="F301" s="5" t="s">
        <v>32</v>
      </c>
      <c r="G301" s="5" t="s">
        <v>2719</v>
      </c>
    </row>
    <row r="302" spans="1:7">
      <c r="A302" s="5" t="s">
        <v>3032</v>
      </c>
      <c r="B302" s="5" t="s">
        <v>876</v>
      </c>
      <c r="C302" s="5"/>
      <c r="D302" s="5" t="s">
        <v>1434</v>
      </c>
      <c r="E302" s="5" t="s">
        <v>890</v>
      </c>
      <c r="F302" s="5" t="s">
        <v>32</v>
      </c>
      <c r="G302" s="5" t="s">
        <v>2722</v>
      </c>
    </row>
    <row r="303" spans="1:7">
      <c r="A303" s="5" t="s">
        <v>3033</v>
      </c>
      <c r="B303" s="5" t="s">
        <v>876</v>
      </c>
      <c r="C303" s="5"/>
      <c r="D303" s="5" t="s">
        <v>1436</v>
      </c>
      <c r="E303" s="5" t="s">
        <v>31</v>
      </c>
      <c r="F303" s="5" t="s">
        <v>32</v>
      </c>
      <c r="G303" s="5" t="s">
        <v>2721</v>
      </c>
    </row>
    <row r="304" spans="1:7">
      <c r="A304" s="5" t="s">
        <v>3034</v>
      </c>
      <c r="B304" s="5" t="s">
        <v>876</v>
      </c>
      <c r="C304" s="5"/>
      <c r="D304" s="5" t="s">
        <v>1045</v>
      </c>
      <c r="E304" s="5" t="s">
        <v>66</v>
      </c>
      <c r="F304" s="5" t="s">
        <v>32</v>
      </c>
      <c r="G304" s="5" t="s">
        <v>2719</v>
      </c>
    </row>
    <row r="305" spans="1:7">
      <c r="A305" s="5" t="s">
        <v>3035</v>
      </c>
      <c r="B305" s="5" t="s">
        <v>876</v>
      </c>
      <c r="C305" s="5"/>
      <c r="D305" s="5" t="s">
        <v>1439</v>
      </c>
      <c r="E305" s="5" t="s">
        <v>930</v>
      </c>
      <c r="F305" s="5" t="s">
        <v>32</v>
      </c>
      <c r="G305" s="5" t="s">
        <v>2723</v>
      </c>
    </row>
    <row r="306" spans="1:7">
      <c r="A306" s="5" t="s">
        <v>3036</v>
      </c>
      <c r="B306" s="5" t="s">
        <v>876</v>
      </c>
      <c r="C306" s="5"/>
      <c r="D306" s="5" t="s">
        <v>1441</v>
      </c>
      <c r="E306" s="5" t="s">
        <v>1015</v>
      </c>
      <c r="F306" s="5" t="s">
        <v>32</v>
      </c>
      <c r="G306" s="5" t="s">
        <v>2726</v>
      </c>
    </row>
    <row r="307" spans="1:7">
      <c r="A307" s="5" t="s">
        <v>3037</v>
      </c>
      <c r="B307" s="5" t="s">
        <v>876</v>
      </c>
      <c r="C307" s="5"/>
      <c r="D307" s="5" t="s">
        <v>1443</v>
      </c>
      <c r="E307" s="5" t="s">
        <v>940</v>
      </c>
      <c r="F307" s="5" t="s">
        <v>32</v>
      </c>
      <c r="G307" s="5" t="s">
        <v>2724</v>
      </c>
    </row>
    <row r="308" spans="1:7">
      <c r="A308" s="5" t="s">
        <v>875</v>
      </c>
      <c r="B308" s="5" t="s">
        <v>876</v>
      </c>
      <c r="C308" s="5"/>
      <c r="D308" s="5" t="s">
        <v>1445</v>
      </c>
      <c r="E308" s="5" t="s">
        <v>940</v>
      </c>
      <c r="F308" s="5" t="s">
        <v>32</v>
      </c>
      <c r="G308" s="5" t="s">
        <v>2724</v>
      </c>
    </row>
    <row r="309" spans="1:7">
      <c r="A309" s="5" t="s">
        <v>878</v>
      </c>
      <c r="B309" s="5" t="s">
        <v>876</v>
      </c>
      <c r="C309" s="5"/>
      <c r="D309" s="5" t="s">
        <v>964</v>
      </c>
      <c r="E309" s="5" t="s">
        <v>66</v>
      </c>
      <c r="F309" s="5" t="s">
        <v>32</v>
      </c>
      <c r="G309" s="5" t="s">
        <v>2719</v>
      </c>
    </row>
    <row r="310" spans="1:7">
      <c r="A310" s="5" t="s">
        <v>881</v>
      </c>
      <c r="B310" s="5" t="s">
        <v>876</v>
      </c>
      <c r="C310" s="5"/>
      <c r="D310" s="5" t="s">
        <v>1450</v>
      </c>
      <c r="E310" s="5" t="s">
        <v>66</v>
      </c>
      <c r="F310" s="5" t="s">
        <v>32</v>
      </c>
      <c r="G310" s="5" t="s">
        <v>2719</v>
      </c>
    </row>
    <row r="311" spans="1:7">
      <c r="A311" s="5" t="s">
        <v>883</v>
      </c>
      <c r="B311" s="5" t="s">
        <v>876</v>
      </c>
      <c r="C311" s="5"/>
      <c r="D311" s="5" t="s">
        <v>1452</v>
      </c>
      <c r="E311" s="5" t="s">
        <v>940</v>
      </c>
      <c r="F311" s="5" t="s">
        <v>32</v>
      </c>
      <c r="G311" s="5" t="s">
        <v>2724</v>
      </c>
    </row>
    <row r="312" spans="1:7">
      <c r="A312" s="5" t="s">
        <v>885</v>
      </c>
      <c r="B312" s="5" t="s">
        <v>876</v>
      </c>
      <c r="C312" s="5"/>
      <c r="D312" s="5" t="s">
        <v>1454</v>
      </c>
      <c r="E312" s="5" t="s">
        <v>890</v>
      </c>
      <c r="F312" s="5" t="s">
        <v>32</v>
      </c>
      <c r="G312" s="5" t="s">
        <v>2722</v>
      </c>
    </row>
    <row r="313" spans="1:7">
      <c r="A313" s="5" t="s">
        <v>887</v>
      </c>
      <c r="B313" s="5" t="s">
        <v>876</v>
      </c>
      <c r="C313" s="5"/>
      <c r="D313" s="5" t="s">
        <v>1456</v>
      </c>
      <c r="E313" s="5" t="s">
        <v>31</v>
      </c>
      <c r="F313" s="5" t="s">
        <v>32</v>
      </c>
      <c r="G313" s="5" t="s">
        <v>2721</v>
      </c>
    </row>
    <row r="314" spans="1:7">
      <c r="A314" s="5" t="s">
        <v>888</v>
      </c>
      <c r="B314" s="5" t="s">
        <v>876</v>
      </c>
      <c r="C314" s="5"/>
      <c r="D314" s="5" t="s">
        <v>1458</v>
      </c>
      <c r="E314" s="5" t="s">
        <v>66</v>
      </c>
      <c r="F314" s="5" t="s">
        <v>32</v>
      </c>
      <c r="G314" s="5" t="s">
        <v>2719</v>
      </c>
    </row>
    <row r="315" spans="1:7">
      <c r="A315" s="5" t="s">
        <v>891</v>
      </c>
      <c r="B315" s="5" t="s">
        <v>876</v>
      </c>
      <c r="C315" s="5"/>
      <c r="D315" s="5" t="s">
        <v>1460</v>
      </c>
      <c r="E315" s="5" t="s">
        <v>66</v>
      </c>
      <c r="F315" s="5" t="s">
        <v>32</v>
      </c>
      <c r="G315" s="5" t="s">
        <v>2719</v>
      </c>
    </row>
    <row r="316" spans="1:7">
      <c r="A316" s="5" t="s">
        <v>893</v>
      </c>
      <c r="B316" s="5" t="s">
        <v>876</v>
      </c>
      <c r="C316" s="5"/>
      <c r="D316" s="5" t="s">
        <v>1462</v>
      </c>
      <c r="E316" s="5" t="s">
        <v>890</v>
      </c>
      <c r="F316" s="5" t="s">
        <v>32</v>
      </c>
      <c r="G316" s="5" t="s">
        <v>2722</v>
      </c>
    </row>
    <row r="317" spans="1:7">
      <c r="A317" s="5" t="s">
        <v>895</v>
      </c>
      <c r="B317" s="5" t="s">
        <v>876</v>
      </c>
      <c r="C317" s="5"/>
      <c r="D317" s="5" t="s">
        <v>952</v>
      </c>
      <c r="E317" s="5" t="s">
        <v>880</v>
      </c>
      <c r="F317" s="5" t="s">
        <v>32</v>
      </c>
      <c r="G317" s="5" t="s">
        <v>2720</v>
      </c>
    </row>
    <row r="318" spans="1:7">
      <c r="A318" s="5" t="s">
        <v>897</v>
      </c>
      <c r="B318" s="5" t="s">
        <v>876</v>
      </c>
      <c r="C318" s="5"/>
      <c r="D318" s="5" t="s">
        <v>1202</v>
      </c>
      <c r="E318" s="5" t="s">
        <v>31</v>
      </c>
      <c r="F318" s="5" t="s">
        <v>32</v>
      </c>
      <c r="G318" s="5" t="s">
        <v>2721</v>
      </c>
    </row>
    <row r="319" spans="1:7">
      <c r="A319" s="5" t="s">
        <v>899</v>
      </c>
      <c r="B319" s="5" t="s">
        <v>876</v>
      </c>
      <c r="C319" s="5"/>
      <c r="D319" s="5" t="s">
        <v>1454</v>
      </c>
      <c r="E319" s="5" t="s">
        <v>66</v>
      </c>
      <c r="F319" s="5" t="s">
        <v>32</v>
      </c>
      <c r="G319" s="5" t="s">
        <v>2719</v>
      </c>
    </row>
    <row r="320" spans="1:7">
      <c r="A320" s="5" t="s">
        <v>901</v>
      </c>
      <c r="B320" s="5" t="s">
        <v>876</v>
      </c>
      <c r="C320" s="5"/>
      <c r="D320" s="5" t="s">
        <v>1326</v>
      </c>
      <c r="E320" s="5" t="s">
        <v>890</v>
      </c>
      <c r="F320" s="5" t="s">
        <v>32</v>
      </c>
      <c r="G320" s="5" t="s">
        <v>2722</v>
      </c>
    </row>
    <row r="321" spans="1:7">
      <c r="A321" s="5" t="s">
        <v>903</v>
      </c>
      <c r="B321" s="5" t="s">
        <v>876</v>
      </c>
      <c r="C321" s="5"/>
      <c r="D321" s="5" t="s">
        <v>991</v>
      </c>
      <c r="E321" s="5" t="s">
        <v>880</v>
      </c>
      <c r="F321" s="5" t="s">
        <v>32</v>
      </c>
      <c r="G321" s="5" t="s">
        <v>2720</v>
      </c>
    </row>
    <row r="322" spans="1:7">
      <c r="A322" s="5" t="s">
        <v>905</v>
      </c>
      <c r="B322" s="5" t="s">
        <v>876</v>
      </c>
      <c r="C322" s="5"/>
      <c r="D322" s="5" t="s">
        <v>1297</v>
      </c>
      <c r="E322" s="5" t="s">
        <v>890</v>
      </c>
      <c r="F322" s="5" t="s">
        <v>32</v>
      </c>
      <c r="G322" s="5" t="s">
        <v>2722</v>
      </c>
    </row>
    <row r="323" spans="1:7">
      <c r="A323" s="5" t="s">
        <v>907</v>
      </c>
      <c r="B323" s="5" t="s">
        <v>876</v>
      </c>
      <c r="C323" s="5"/>
      <c r="D323" s="5" t="s">
        <v>1387</v>
      </c>
      <c r="E323" s="5" t="s">
        <v>66</v>
      </c>
      <c r="F323" s="5" t="s">
        <v>32</v>
      </c>
      <c r="G323" s="5" t="s">
        <v>2719</v>
      </c>
    </row>
    <row r="324" spans="1:7">
      <c r="A324" s="5" t="s">
        <v>909</v>
      </c>
      <c r="B324" s="5" t="s">
        <v>876</v>
      </c>
      <c r="C324" s="5"/>
      <c r="D324" s="5" t="s">
        <v>1471</v>
      </c>
      <c r="E324" s="5" t="s">
        <v>890</v>
      </c>
      <c r="F324" s="5" t="s">
        <v>32</v>
      </c>
      <c r="G324" s="5" t="s">
        <v>2722</v>
      </c>
    </row>
    <row r="325" spans="1:7">
      <c r="A325" s="5" t="s">
        <v>911</v>
      </c>
      <c r="B325" s="5" t="s">
        <v>876</v>
      </c>
      <c r="C325" s="5"/>
      <c r="D325" s="5" t="s">
        <v>922</v>
      </c>
      <c r="E325" s="5" t="s">
        <v>66</v>
      </c>
      <c r="F325" s="5" t="s">
        <v>32</v>
      </c>
      <c r="G325" s="5" t="s">
        <v>2719</v>
      </c>
    </row>
    <row r="326" spans="1:7">
      <c r="A326" s="5" t="s">
        <v>913</v>
      </c>
      <c r="B326" s="5" t="s">
        <v>876</v>
      </c>
      <c r="C326" s="5"/>
      <c r="D326" s="5" t="s">
        <v>1474</v>
      </c>
      <c r="E326" s="5" t="s">
        <v>42</v>
      </c>
      <c r="F326" s="5" t="s">
        <v>32</v>
      </c>
      <c r="G326" s="5" t="s">
        <v>2716</v>
      </c>
    </row>
    <row r="327" spans="1:7">
      <c r="A327" s="5" t="s">
        <v>915</v>
      </c>
      <c r="B327" s="5" t="s">
        <v>876</v>
      </c>
      <c r="C327" s="5"/>
      <c r="D327" s="5" t="s">
        <v>1476</v>
      </c>
      <c r="E327" s="5" t="s">
        <v>940</v>
      </c>
      <c r="F327" s="5" t="s">
        <v>32</v>
      </c>
      <c r="G327" s="5" t="s">
        <v>2724</v>
      </c>
    </row>
    <row r="328" spans="1:7">
      <c r="A328" s="5" t="s">
        <v>917</v>
      </c>
      <c r="B328" s="5" t="s">
        <v>876</v>
      </c>
      <c r="C328" s="5"/>
      <c r="D328" s="5" t="s">
        <v>1478</v>
      </c>
      <c r="E328" s="5" t="s">
        <v>930</v>
      </c>
      <c r="F328" s="5" t="s">
        <v>32</v>
      </c>
      <c r="G328" s="5" t="s">
        <v>2723</v>
      </c>
    </row>
    <row r="329" spans="1:7">
      <c r="A329" s="5" t="s">
        <v>919</v>
      </c>
      <c r="B329" s="5" t="s">
        <v>876</v>
      </c>
      <c r="C329" s="5"/>
      <c r="D329" s="5" t="s">
        <v>937</v>
      </c>
      <c r="E329" s="5" t="s">
        <v>880</v>
      </c>
      <c r="F329" s="5" t="s">
        <v>32</v>
      </c>
      <c r="G329" s="5" t="s">
        <v>2720</v>
      </c>
    </row>
    <row r="330" spans="1:7">
      <c r="A330" s="5" t="s">
        <v>921</v>
      </c>
      <c r="B330" s="5" t="s">
        <v>876</v>
      </c>
      <c r="C330" s="5"/>
      <c r="D330" s="5" t="s">
        <v>968</v>
      </c>
      <c r="E330" s="5" t="s">
        <v>880</v>
      </c>
      <c r="F330" s="5" t="s">
        <v>32</v>
      </c>
      <c r="G330" s="5" t="s">
        <v>2720</v>
      </c>
    </row>
    <row r="331" spans="1:7">
      <c r="A331" s="5" t="s">
        <v>923</v>
      </c>
      <c r="B331" s="5" t="s">
        <v>876</v>
      </c>
      <c r="C331" s="5"/>
      <c r="D331" s="5" t="s">
        <v>970</v>
      </c>
      <c r="E331" s="5" t="s">
        <v>66</v>
      </c>
      <c r="F331" s="5" t="s">
        <v>32</v>
      </c>
      <c r="G331" s="5" t="s">
        <v>2719</v>
      </c>
    </row>
    <row r="332" spans="1:7">
      <c r="A332" s="5" t="s">
        <v>924</v>
      </c>
      <c r="B332" s="5" t="s">
        <v>876</v>
      </c>
      <c r="C332" s="5"/>
      <c r="D332" s="5" t="s">
        <v>1483</v>
      </c>
      <c r="E332" s="5" t="s">
        <v>66</v>
      </c>
      <c r="F332" s="5" t="s">
        <v>32</v>
      </c>
      <c r="G332" s="5" t="s">
        <v>2719</v>
      </c>
    </row>
    <row r="333" spans="1:7">
      <c r="A333" s="5" t="s">
        <v>926</v>
      </c>
      <c r="B333" s="5" t="s">
        <v>876</v>
      </c>
      <c r="C333" s="5"/>
      <c r="D333" s="5" t="s">
        <v>1485</v>
      </c>
      <c r="E333" s="5" t="s">
        <v>890</v>
      </c>
      <c r="F333" s="5" t="s">
        <v>32</v>
      </c>
      <c r="G333" s="5" t="s">
        <v>2722</v>
      </c>
    </row>
    <row r="334" spans="1:7">
      <c r="A334" s="5" t="s">
        <v>928</v>
      </c>
      <c r="B334" s="5" t="s">
        <v>876</v>
      </c>
      <c r="C334" s="5"/>
      <c r="D334" s="5" t="s">
        <v>1487</v>
      </c>
      <c r="E334" s="5" t="s">
        <v>890</v>
      </c>
      <c r="F334" s="5" t="s">
        <v>32</v>
      </c>
      <c r="G334" s="5" t="s">
        <v>2722</v>
      </c>
    </row>
    <row r="335" spans="1:7">
      <c r="A335" s="5" t="s">
        <v>931</v>
      </c>
      <c r="B335" s="5" t="s">
        <v>876</v>
      </c>
      <c r="C335" s="5"/>
      <c r="D335" s="5" t="s">
        <v>1489</v>
      </c>
      <c r="E335" s="5" t="s">
        <v>930</v>
      </c>
      <c r="F335" s="5" t="s">
        <v>32</v>
      </c>
      <c r="G335" s="5" t="s">
        <v>2723</v>
      </c>
    </row>
    <row r="336" spans="1:7">
      <c r="A336" s="5" t="s">
        <v>933</v>
      </c>
      <c r="B336" s="5" t="s">
        <v>876</v>
      </c>
      <c r="C336" s="5"/>
      <c r="D336" s="5" t="s">
        <v>65</v>
      </c>
      <c r="E336" s="5" t="s">
        <v>890</v>
      </c>
      <c r="F336" s="5" t="s">
        <v>32</v>
      </c>
      <c r="G336" s="5" t="s">
        <v>2722</v>
      </c>
    </row>
    <row r="337" spans="1:7">
      <c r="A337" s="5" t="s">
        <v>935</v>
      </c>
      <c r="B337" s="5" t="s">
        <v>876</v>
      </c>
      <c r="C337" s="5"/>
      <c r="D337" s="5" t="s">
        <v>1492</v>
      </c>
      <c r="E337" s="5" t="s">
        <v>42</v>
      </c>
      <c r="F337" s="5" t="s">
        <v>32</v>
      </c>
      <c r="G337" s="5" t="s">
        <v>2716</v>
      </c>
    </row>
    <row r="338" spans="1:7">
      <c r="A338" s="5" t="s">
        <v>936</v>
      </c>
      <c r="B338" s="5" t="s">
        <v>876</v>
      </c>
      <c r="C338" s="5"/>
      <c r="D338" s="5" t="s">
        <v>1494</v>
      </c>
      <c r="E338" s="5" t="s">
        <v>890</v>
      </c>
      <c r="F338" s="5" t="s">
        <v>32</v>
      </c>
      <c r="G338" s="5" t="s">
        <v>2722</v>
      </c>
    </row>
    <row r="339" spans="1:7">
      <c r="A339" s="5" t="s">
        <v>938</v>
      </c>
      <c r="B339" s="5" t="s">
        <v>876</v>
      </c>
      <c r="C339" s="5"/>
      <c r="D339" s="5" t="s">
        <v>916</v>
      </c>
      <c r="E339" s="5" t="s">
        <v>880</v>
      </c>
      <c r="F339" s="5" t="s">
        <v>32</v>
      </c>
      <c r="G339" s="5" t="s">
        <v>2720</v>
      </c>
    </row>
    <row r="340" spans="1:7">
      <c r="A340" s="5" t="s">
        <v>941</v>
      </c>
      <c r="B340" s="5" t="s">
        <v>876</v>
      </c>
      <c r="C340" s="5"/>
      <c r="D340" s="5" t="s">
        <v>1035</v>
      </c>
      <c r="E340" s="5" t="s">
        <v>880</v>
      </c>
      <c r="F340" s="5" t="s">
        <v>32</v>
      </c>
      <c r="G340" s="5" t="s">
        <v>2720</v>
      </c>
    </row>
    <row r="341" spans="1:7">
      <c r="A341" s="5" t="s">
        <v>943</v>
      </c>
      <c r="B341" s="5" t="s">
        <v>876</v>
      </c>
      <c r="C341" s="5"/>
      <c r="D341" s="5" t="s">
        <v>1018</v>
      </c>
      <c r="E341" s="5" t="s">
        <v>66</v>
      </c>
      <c r="F341" s="5" t="s">
        <v>32</v>
      </c>
      <c r="G341" s="5" t="s">
        <v>2719</v>
      </c>
    </row>
    <row r="342" spans="1:7">
      <c r="A342" s="5" t="s">
        <v>945</v>
      </c>
      <c r="B342" s="5" t="s">
        <v>876</v>
      </c>
      <c r="C342" s="5"/>
      <c r="D342" s="5" t="s">
        <v>1380</v>
      </c>
      <c r="E342" s="5" t="s">
        <v>890</v>
      </c>
      <c r="F342" s="5" t="s">
        <v>32</v>
      </c>
      <c r="G342" s="5" t="s">
        <v>2722</v>
      </c>
    </row>
    <row r="343" spans="1:7">
      <c r="A343" s="5" t="s">
        <v>947</v>
      </c>
      <c r="B343" s="5" t="s">
        <v>876</v>
      </c>
      <c r="C343" s="5"/>
      <c r="D343" s="5" t="s">
        <v>1500</v>
      </c>
      <c r="E343" s="5" t="s">
        <v>66</v>
      </c>
      <c r="F343" s="5" t="s">
        <v>32</v>
      </c>
      <c r="G343" s="5" t="s">
        <v>2719</v>
      </c>
    </row>
    <row r="344" spans="1:7">
      <c r="A344" s="5" t="s">
        <v>949</v>
      </c>
      <c r="B344" s="5" t="s">
        <v>876</v>
      </c>
      <c r="C344" s="5"/>
      <c r="D344" s="5" t="s">
        <v>1502</v>
      </c>
      <c r="E344" s="5" t="s">
        <v>890</v>
      </c>
      <c r="F344" s="5" t="s">
        <v>32</v>
      </c>
      <c r="G344" s="5" t="s">
        <v>2722</v>
      </c>
    </row>
    <row r="345" spans="1:7">
      <c r="A345" s="5" t="s">
        <v>950</v>
      </c>
      <c r="B345" s="5" t="s">
        <v>876</v>
      </c>
      <c r="C345" s="5"/>
      <c r="D345" s="5" t="s">
        <v>1008</v>
      </c>
      <c r="E345" s="5" t="s">
        <v>66</v>
      </c>
      <c r="F345" s="5" t="s">
        <v>32</v>
      </c>
      <c r="G345" s="5" t="s">
        <v>2719</v>
      </c>
    </row>
    <row r="346" spans="1:7">
      <c r="A346" s="5" t="s">
        <v>951</v>
      </c>
      <c r="B346" s="5" t="s">
        <v>876</v>
      </c>
      <c r="C346" s="5"/>
      <c r="D346" s="5" t="s">
        <v>1505</v>
      </c>
      <c r="E346" s="5" t="s">
        <v>940</v>
      </c>
      <c r="F346" s="5" t="s">
        <v>32</v>
      </c>
      <c r="G346" s="5" t="s">
        <v>2724</v>
      </c>
    </row>
    <row r="347" spans="1:7">
      <c r="A347" s="5" t="s">
        <v>953</v>
      </c>
      <c r="B347" s="5" t="s">
        <v>876</v>
      </c>
      <c r="C347" s="5"/>
      <c r="D347" s="5" t="s">
        <v>1507</v>
      </c>
      <c r="E347" s="5" t="s">
        <v>66</v>
      </c>
      <c r="F347" s="5" t="s">
        <v>32</v>
      </c>
      <c r="G347" s="5" t="s">
        <v>2719</v>
      </c>
    </row>
    <row r="348" spans="1:7">
      <c r="A348" s="5" t="s">
        <v>955</v>
      </c>
      <c r="B348" s="5" t="s">
        <v>876</v>
      </c>
      <c r="C348" s="5"/>
      <c r="D348" s="5" t="s">
        <v>1509</v>
      </c>
      <c r="E348" s="5" t="s">
        <v>890</v>
      </c>
      <c r="F348" s="5" t="s">
        <v>32</v>
      </c>
      <c r="G348" s="5" t="s">
        <v>2722</v>
      </c>
    </row>
    <row r="349" spans="1:7">
      <c r="A349" s="5" t="s">
        <v>957</v>
      </c>
      <c r="B349" s="5" t="s">
        <v>876</v>
      </c>
      <c r="C349" s="5"/>
      <c r="D349" s="5" t="s">
        <v>1511</v>
      </c>
      <c r="E349" s="5" t="s">
        <v>880</v>
      </c>
      <c r="F349" s="5" t="s">
        <v>32</v>
      </c>
      <c r="G349" s="5" t="s">
        <v>2720</v>
      </c>
    </row>
    <row r="350" spans="1:7">
      <c r="A350" s="5" t="s">
        <v>959</v>
      </c>
      <c r="B350" s="5" t="s">
        <v>876</v>
      </c>
      <c r="C350" s="5"/>
      <c r="D350" s="5" t="s">
        <v>1513</v>
      </c>
      <c r="E350" s="5" t="s">
        <v>890</v>
      </c>
      <c r="F350" s="5" t="s">
        <v>32</v>
      </c>
      <c r="G350" s="5" t="s">
        <v>2722</v>
      </c>
    </row>
    <row r="351" spans="1:7">
      <c r="A351" s="5" t="s">
        <v>961</v>
      </c>
      <c r="B351" s="5" t="s">
        <v>876</v>
      </c>
      <c r="C351" s="5"/>
      <c r="D351" s="5" t="s">
        <v>1306</v>
      </c>
      <c r="E351" s="5" t="s">
        <v>890</v>
      </c>
      <c r="F351" s="5" t="s">
        <v>32</v>
      </c>
      <c r="G351" s="5" t="s">
        <v>2722</v>
      </c>
    </row>
    <row r="352" spans="1:7">
      <c r="A352" s="5" t="s">
        <v>963</v>
      </c>
      <c r="B352" s="5" t="s">
        <v>876</v>
      </c>
      <c r="C352" s="5"/>
      <c r="D352" s="5" t="s">
        <v>948</v>
      </c>
      <c r="E352" s="5" t="s">
        <v>66</v>
      </c>
      <c r="F352" s="5" t="s">
        <v>32</v>
      </c>
      <c r="G352" s="5" t="s">
        <v>2719</v>
      </c>
    </row>
    <row r="353" spans="1:7">
      <c r="A353" s="5" t="s">
        <v>965</v>
      </c>
      <c r="B353" s="5" t="s">
        <v>876</v>
      </c>
      <c r="C353" s="5"/>
      <c r="D353" s="5" t="s">
        <v>1516</v>
      </c>
      <c r="E353" s="5" t="s">
        <v>66</v>
      </c>
      <c r="F353" s="5" t="s">
        <v>32</v>
      </c>
      <c r="G353" s="5" t="s">
        <v>2719</v>
      </c>
    </row>
    <row r="354" spans="1:7">
      <c r="A354" s="5" t="s">
        <v>967</v>
      </c>
      <c r="B354" s="5" t="s">
        <v>876</v>
      </c>
      <c r="C354" s="5"/>
      <c r="D354" s="5" t="s">
        <v>1517</v>
      </c>
      <c r="E354" s="5" t="s">
        <v>890</v>
      </c>
      <c r="F354" s="5" t="s">
        <v>32</v>
      </c>
      <c r="G354" s="5" t="s">
        <v>2722</v>
      </c>
    </row>
    <row r="355" spans="1:7">
      <c r="A355" s="5" t="s">
        <v>969</v>
      </c>
      <c r="B355" s="5" t="s">
        <v>876</v>
      </c>
      <c r="C355" s="5"/>
      <c r="D355" s="5" t="s">
        <v>1004</v>
      </c>
      <c r="E355" s="5" t="s">
        <v>66</v>
      </c>
      <c r="F355" s="5" t="s">
        <v>32</v>
      </c>
      <c r="G355" s="5" t="s">
        <v>2719</v>
      </c>
    </row>
    <row r="356" spans="1:7">
      <c r="A356" s="5" t="s">
        <v>971</v>
      </c>
      <c r="B356" s="5" t="s">
        <v>876</v>
      </c>
      <c r="C356" s="5"/>
      <c r="D356" s="5" t="s">
        <v>1378</v>
      </c>
      <c r="E356" s="5" t="s">
        <v>890</v>
      </c>
      <c r="F356" s="5" t="s">
        <v>32</v>
      </c>
      <c r="G356" s="5" t="s">
        <v>2722</v>
      </c>
    </row>
    <row r="357" spans="1:7">
      <c r="A357" s="5" t="s">
        <v>973</v>
      </c>
      <c r="B357" s="5" t="s">
        <v>876</v>
      </c>
      <c r="C357" s="5"/>
      <c r="D357" s="5" t="s">
        <v>927</v>
      </c>
      <c r="E357" s="5" t="s">
        <v>880</v>
      </c>
      <c r="F357" s="5" t="s">
        <v>32</v>
      </c>
      <c r="G357" s="5" t="s">
        <v>2720</v>
      </c>
    </row>
    <row r="358" spans="1:7">
      <c r="A358" s="5" t="s">
        <v>975</v>
      </c>
      <c r="B358" s="5" t="s">
        <v>876</v>
      </c>
      <c r="C358" s="5"/>
      <c r="D358" s="5" t="s">
        <v>1518</v>
      </c>
      <c r="E358" s="5" t="s">
        <v>890</v>
      </c>
      <c r="F358" s="5" t="s">
        <v>32</v>
      </c>
      <c r="G358" s="5" t="s">
        <v>2722</v>
      </c>
    </row>
    <row r="359" spans="1:7">
      <c r="A359" s="5" t="s">
        <v>977</v>
      </c>
      <c r="B359" s="5" t="s">
        <v>876</v>
      </c>
      <c r="C359" s="5"/>
      <c r="D359" s="5" t="s">
        <v>1299</v>
      </c>
      <c r="E359" s="5" t="s">
        <v>890</v>
      </c>
      <c r="F359" s="5" t="s">
        <v>32</v>
      </c>
      <c r="G359" s="5" t="s">
        <v>2722</v>
      </c>
    </row>
    <row r="360" spans="1:7">
      <c r="A360" s="5" t="s">
        <v>978</v>
      </c>
      <c r="B360" s="5" t="s">
        <v>876</v>
      </c>
      <c r="C360" s="5"/>
      <c r="D360" s="5" t="s">
        <v>1519</v>
      </c>
      <c r="E360" s="5" t="s">
        <v>880</v>
      </c>
      <c r="F360" s="5" t="s">
        <v>32</v>
      </c>
      <c r="G360" s="5" t="s">
        <v>2720</v>
      </c>
    </row>
    <row r="361" spans="1:7">
      <c r="A361" s="5" t="s">
        <v>980</v>
      </c>
      <c r="B361" s="5" t="s">
        <v>876</v>
      </c>
      <c r="C361" s="5"/>
      <c r="D361" s="5" t="s">
        <v>1520</v>
      </c>
      <c r="E361" s="5" t="s">
        <v>890</v>
      </c>
      <c r="F361" s="5" t="s">
        <v>32</v>
      </c>
      <c r="G361" s="5" t="s">
        <v>2722</v>
      </c>
    </row>
    <row r="362" spans="1:7">
      <c r="A362" s="5" t="s">
        <v>983</v>
      </c>
      <c r="B362" s="5" t="s">
        <v>876</v>
      </c>
      <c r="C362" s="5"/>
      <c r="D362" s="5" t="s">
        <v>1521</v>
      </c>
      <c r="E362" s="5" t="s">
        <v>930</v>
      </c>
      <c r="F362" s="5" t="s">
        <v>32</v>
      </c>
      <c r="G362" s="5" t="s">
        <v>2723</v>
      </c>
    </row>
    <row r="363" spans="1:7">
      <c r="A363" s="5" t="s">
        <v>985</v>
      </c>
      <c r="B363" s="5" t="s">
        <v>876</v>
      </c>
      <c r="C363" s="5"/>
      <c r="D363" s="5" t="s">
        <v>1522</v>
      </c>
      <c r="E363" s="5" t="s">
        <v>66</v>
      </c>
      <c r="F363" s="5" t="s">
        <v>32</v>
      </c>
      <c r="G363" s="5" t="s">
        <v>2719</v>
      </c>
    </row>
    <row r="364" spans="1:7">
      <c r="A364" s="5" t="s">
        <v>986</v>
      </c>
      <c r="B364" s="5" t="s">
        <v>876</v>
      </c>
      <c r="C364" s="5"/>
      <c r="D364" s="5" t="s">
        <v>989</v>
      </c>
      <c r="E364" s="5" t="s">
        <v>66</v>
      </c>
      <c r="F364" s="5" t="s">
        <v>32</v>
      </c>
      <c r="G364" s="5" t="s">
        <v>2719</v>
      </c>
    </row>
    <row r="365" spans="1:7">
      <c r="A365" s="5" t="s">
        <v>988</v>
      </c>
      <c r="B365" s="5" t="s">
        <v>876</v>
      </c>
      <c r="C365" s="5"/>
      <c r="D365" s="5" t="s">
        <v>1523</v>
      </c>
      <c r="E365" s="5" t="s">
        <v>930</v>
      </c>
      <c r="F365" s="5" t="s">
        <v>32</v>
      </c>
      <c r="G365" s="5" t="s">
        <v>2723</v>
      </c>
    </row>
    <row r="366" spans="1:7">
      <c r="A366" s="5" t="s">
        <v>990</v>
      </c>
      <c r="B366" s="5" t="s">
        <v>876</v>
      </c>
      <c r="C366" s="5"/>
      <c r="D366" s="5" t="s">
        <v>1373</v>
      </c>
      <c r="E366" s="5" t="s">
        <v>890</v>
      </c>
      <c r="F366" s="5" t="s">
        <v>32</v>
      </c>
      <c r="G366" s="5" t="s">
        <v>2722</v>
      </c>
    </row>
    <row r="367" spans="1:7">
      <c r="A367" s="5" t="s">
        <v>992</v>
      </c>
      <c r="B367" s="5" t="s">
        <v>876</v>
      </c>
      <c r="C367" s="5"/>
      <c r="D367" s="5" t="s">
        <v>1462</v>
      </c>
      <c r="E367" s="5" t="s">
        <v>66</v>
      </c>
      <c r="F367" s="5" t="s">
        <v>32</v>
      </c>
      <c r="G367" s="5" t="s">
        <v>2719</v>
      </c>
    </row>
    <row r="368" spans="1:7">
      <c r="A368" s="5" t="s">
        <v>994</v>
      </c>
      <c r="B368" s="5" t="s">
        <v>876</v>
      </c>
      <c r="C368" s="5"/>
      <c r="D368" s="5" t="s">
        <v>1314</v>
      </c>
      <c r="E368" s="5" t="s">
        <v>890</v>
      </c>
      <c r="F368" s="5" t="s">
        <v>32</v>
      </c>
      <c r="G368" s="5" t="s">
        <v>2722</v>
      </c>
    </row>
    <row r="369" spans="1:7">
      <c r="A369" s="5" t="s">
        <v>995</v>
      </c>
      <c r="B369" s="5" t="s">
        <v>876</v>
      </c>
      <c r="C369" s="5"/>
      <c r="D369" s="5" t="s">
        <v>1525</v>
      </c>
      <c r="E369" s="5" t="s">
        <v>66</v>
      </c>
      <c r="F369" s="5" t="s">
        <v>32</v>
      </c>
      <c r="G369" s="5" t="s">
        <v>2719</v>
      </c>
    </row>
    <row r="370" spans="1:7">
      <c r="A370" s="5" t="s">
        <v>997</v>
      </c>
      <c r="B370" s="5" t="s">
        <v>876</v>
      </c>
      <c r="C370" s="5"/>
      <c r="D370" s="5" t="s">
        <v>1526</v>
      </c>
      <c r="E370" s="5" t="s">
        <v>890</v>
      </c>
      <c r="F370" s="5" t="s">
        <v>32</v>
      </c>
      <c r="G370" s="5" t="s">
        <v>2722</v>
      </c>
    </row>
    <row r="371" spans="1:7">
      <c r="A371" s="5" t="s">
        <v>999</v>
      </c>
      <c r="B371" s="5" t="s">
        <v>876</v>
      </c>
      <c r="C371" s="5"/>
      <c r="D371" s="5" t="s">
        <v>1527</v>
      </c>
      <c r="E371" s="5" t="s">
        <v>880</v>
      </c>
      <c r="F371" s="5" t="s">
        <v>32</v>
      </c>
      <c r="G371" s="5" t="s">
        <v>2720</v>
      </c>
    </row>
    <row r="372" spans="1:7">
      <c r="A372" s="5" t="s">
        <v>1001</v>
      </c>
      <c r="B372" s="5" t="s">
        <v>876</v>
      </c>
      <c r="C372" s="5"/>
      <c r="D372" s="5" t="s">
        <v>1526</v>
      </c>
      <c r="E372" s="5" t="s">
        <v>66</v>
      </c>
      <c r="F372" s="5" t="s">
        <v>32</v>
      </c>
      <c r="G372" s="5" t="s">
        <v>2719</v>
      </c>
    </row>
    <row r="373" spans="1:7">
      <c r="A373" s="5" t="s">
        <v>1003</v>
      </c>
      <c r="B373" s="5" t="s">
        <v>876</v>
      </c>
      <c r="C373" s="5"/>
      <c r="D373" s="5" t="s">
        <v>1458</v>
      </c>
      <c r="E373" s="5" t="s">
        <v>890</v>
      </c>
      <c r="F373" s="5" t="s">
        <v>32</v>
      </c>
      <c r="G373" s="5" t="s">
        <v>2722</v>
      </c>
    </row>
    <row r="374" spans="1:7">
      <c r="A374" s="5" t="s">
        <v>1005</v>
      </c>
      <c r="B374" s="5" t="s">
        <v>876</v>
      </c>
      <c r="C374" s="5"/>
      <c r="D374" s="5" t="s">
        <v>1509</v>
      </c>
      <c r="E374" s="5" t="s">
        <v>66</v>
      </c>
      <c r="F374" s="5" t="s">
        <v>32</v>
      </c>
      <c r="G374" s="5" t="s">
        <v>2719</v>
      </c>
    </row>
    <row r="375" spans="1:7">
      <c r="A375" s="5" t="s">
        <v>1007</v>
      </c>
      <c r="B375" s="5" t="s">
        <v>876</v>
      </c>
      <c r="C375" s="5"/>
      <c r="D375" s="5" t="s">
        <v>1528</v>
      </c>
      <c r="E375" s="5" t="s">
        <v>880</v>
      </c>
      <c r="F375" s="5" t="s">
        <v>32</v>
      </c>
      <c r="G375" s="5" t="s">
        <v>2720</v>
      </c>
    </row>
    <row r="376" spans="1:7">
      <c r="A376" s="5" t="s">
        <v>1009</v>
      </c>
      <c r="B376" s="5" t="s">
        <v>876</v>
      </c>
      <c r="C376" s="5"/>
      <c r="D376" s="5" t="s">
        <v>942</v>
      </c>
      <c r="E376" s="5" t="s">
        <v>66</v>
      </c>
      <c r="F376" s="5" t="s">
        <v>32</v>
      </c>
      <c r="G376" s="5" t="s">
        <v>2719</v>
      </c>
    </row>
    <row r="377" spans="1:7">
      <c r="A377" s="5" t="s">
        <v>1011</v>
      </c>
      <c r="B377" s="5" t="s">
        <v>876</v>
      </c>
      <c r="C377" s="5"/>
      <c r="D377" s="5" t="s">
        <v>918</v>
      </c>
      <c r="E377" s="5" t="s">
        <v>880</v>
      </c>
      <c r="F377" s="5" t="s">
        <v>32</v>
      </c>
      <c r="G377" s="5" t="s">
        <v>2720</v>
      </c>
    </row>
    <row r="378" spans="1:7">
      <c r="A378" s="5" t="s">
        <v>1013</v>
      </c>
      <c r="B378" s="5" t="s">
        <v>876</v>
      </c>
      <c r="C378" s="5"/>
      <c r="D378" s="5" t="s">
        <v>1517</v>
      </c>
      <c r="E378" s="5" t="s">
        <v>66</v>
      </c>
      <c r="F378" s="5" t="s">
        <v>32</v>
      </c>
      <c r="G378" s="5" t="s">
        <v>2719</v>
      </c>
    </row>
    <row r="379" spans="1:7">
      <c r="A379" s="5" t="s">
        <v>1016</v>
      </c>
      <c r="B379" s="5" t="s">
        <v>876</v>
      </c>
      <c r="C379" s="5"/>
      <c r="D379" s="5" t="s">
        <v>1341</v>
      </c>
      <c r="E379" s="5" t="s">
        <v>66</v>
      </c>
      <c r="F379" s="5" t="s">
        <v>32</v>
      </c>
      <c r="G379" s="5" t="s">
        <v>2719</v>
      </c>
    </row>
    <row r="380" spans="1:7">
      <c r="A380" s="5" t="s">
        <v>1017</v>
      </c>
      <c r="B380" s="5" t="s">
        <v>876</v>
      </c>
      <c r="C380" s="5"/>
      <c r="D380" s="5" t="s">
        <v>1207</v>
      </c>
      <c r="E380" s="5" t="s">
        <v>880</v>
      </c>
      <c r="F380" s="5" t="s">
        <v>32</v>
      </c>
      <c r="G380" s="5" t="s">
        <v>2720</v>
      </c>
    </row>
    <row r="381" spans="1:7">
      <c r="A381" s="5" t="s">
        <v>1019</v>
      </c>
      <c r="B381" s="5" t="s">
        <v>876</v>
      </c>
      <c r="C381" s="5"/>
      <c r="D381" s="5" t="s">
        <v>960</v>
      </c>
      <c r="E381" s="5" t="s">
        <v>66</v>
      </c>
      <c r="F381" s="5" t="s">
        <v>32</v>
      </c>
      <c r="G381" s="5" t="s">
        <v>2719</v>
      </c>
    </row>
    <row r="382" spans="1:7">
      <c r="A382" s="5" t="s">
        <v>1021</v>
      </c>
      <c r="B382" s="5" t="s">
        <v>876</v>
      </c>
      <c r="C382" s="5"/>
      <c r="D382" s="5" t="s">
        <v>892</v>
      </c>
      <c r="E382" s="5" t="s">
        <v>66</v>
      </c>
      <c r="F382" s="5" t="s">
        <v>32</v>
      </c>
      <c r="G382" s="5" t="s">
        <v>2719</v>
      </c>
    </row>
    <row r="383" spans="1:7">
      <c r="A383" s="5" t="s">
        <v>1023</v>
      </c>
      <c r="B383" s="5" t="s">
        <v>876</v>
      </c>
      <c r="C383" s="5"/>
      <c r="D383" s="5" t="s">
        <v>1520</v>
      </c>
      <c r="E383" s="5" t="s">
        <v>66</v>
      </c>
      <c r="F383" s="5" t="s">
        <v>32</v>
      </c>
      <c r="G383" s="5" t="s">
        <v>2719</v>
      </c>
    </row>
    <row r="384" spans="1:7">
      <c r="A384" s="5" t="s">
        <v>1025</v>
      </c>
      <c r="B384" s="5" t="s">
        <v>876</v>
      </c>
      <c r="C384" s="5"/>
      <c r="D384" s="5" t="s">
        <v>1529</v>
      </c>
      <c r="E384" s="5" t="s">
        <v>940</v>
      </c>
      <c r="F384" s="5" t="s">
        <v>32</v>
      </c>
      <c r="G384" s="5" t="s">
        <v>2724</v>
      </c>
    </row>
    <row r="385" spans="1:7">
      <c r="A385" s="5" t="s">
        <v>1027</v>
      </c>
      <c r="B385" s="5" t="s">
        <v>876</v>
      </c>
      <c r="C385" s="5"/>
      <c r="D385" s="5" t="s">
        <v>932</v>
      </c>
      <c r="E385" s="5" t="s">
        <v>880</v>
      </c>
      <c r="F385" s="5" t="s">
        <v>32</v>
      </c>
      <c r="G385" s="5" t="s">
        <v>2720</v>
      </c>
    </row>
    <row r="386" spans="1:7">
      <c r="A386" s="5" t="s">
        <v>1029</v>
      </c>
      <c r="B386" s="5" t="s">
        <v>876</v>
      </c>
      <c r="C386" s="5"/>
      <c r="D386" s="5" t="s">
        <v>1530</v>
      </c>
      <c r="E386" s="5" t="s">
        <v>940</v>
      </c>
      <c r="F386" s="5" t="s">
        <v>32</v>
      </c>
      <c r="G386" s="5" t="s">
        <v>2724</v>
      </c>
    </row>
    <row r="387" spans="1:7">
      <c r="A387" s="5" t="s">
        <v>1031</v>
      </c>
      <c r="B387" s="5" t="s">
        <v>876</v>
      </c>
      <c r="C387" s="5"/>
      <c r="D387" s="5" t="s">
        <v>1513</v>
      </c>
      <c r="E387" s="5" t="s">
        <v>66</v>
      </c>
      <c r="F387" s="5" t="s">
        <v>32</v>
      </c>
      <c r="G387" s="5" t="s">
        <v>2719</v>
      </c>
    </row>
    <row r="388" spans="1:7">
      <c r="A388" s="5" t="s">
        <v>1034</v>
      </c>
      <c r="B388" s="5" t="s">
        <v>876</v>
      </c>
      <c r="C388" s="5"/>
      <c r="D388" s="5" t="s">
        <v>1487</v>
      </c>
      <c r="E388" s="5" t="s">
        <v>66</v>
      </c>
      <c r="F388" s="5" t="s">
        <v>32</v>
      </c>
      <c r="G388" s="5" t="s">
        <v>2719</v>
      </c>
    </row>
    <row r="389" spans="1:7">
      <c r="A389" s="5" t="s">
        <v>1036</v>
      </c>
      <c r="B389" s="5" t="s">
        <v>876</v>
      </c>
      <c r="C389" s="5"/>
      <c r="D389" s="5" t="s">
        <v>884</v>
      </c>
      <c r="E389" s="5" t="s">
        <v>880</v>
      </c>
      <c r="F389" s="5" t="s">
        <v>32</v>
      </c>
      <c r="G389" s="5" t="s">
        <v>2720</v>
      </c>
    </row>
    <row r="390" spans="1:7">
      <c r="A390" s="5" t="s">
        <v>1038</v>
      </c>
      <c r="B390" s="5" t="s">
        <v>876</v>
      </c>
      <c r="C390" s="5"/>
      <c r="D390" s="5" t="s">
        <v>1355</v>
      </c>
      <c r="E390" s="5" t="s">
        <v>66</v>
      </c>
      <c r="F390" s="5" t="s">
        <v>32</v>
      </c>
      <c r="G390" s="5" t="s">
        <v>2719</v>
      </c>
    </row>
    <row r="391" spans="1:7">
      <c r="A391" s="5" t="s">
        <v>1040</v>
      </c>
      <c r="B391" s="5" t="s">
        <v>876</v>
      </c>
      <c r="C391" s="5"/>
      <c r="D391" s="5" t="s">
        <v>1434</v>
      </c>
      <c r="E391" s="5" t="s">
        <v>66</v>
      </c>
      <c r="F391" s="5" t="s">
        <v>32</v>
      </c>
      <c r="G391" s="5" t="s">
        <v>2719</v>
      </c>
    </row>
    <row r="392" spans="1:7">
      <c r="A392" s="5" t="s">
        <v>1042</v>
      </c>
      <c r="B392" s="5" t="s">
        <v>876</v>
      </c>
      <c r="C392" s="5"/>
      <c r="D392" s="5" t="s">
        <v>1531</v>
      </c>
      <c r="E392" s="5" t="s">
        <v>66</v>
      </c>
      <c r="F392" s="5" t="s">
        <v>32</v>
      </c>
      <c r="G392" s="5" t="s">
        <v>2719</v>
      </c>
    </row>
    <row r="393" spans="1:7">
      <c r="A393" s="5" t="s">
        <v>1044</v>
      </c>
      <c r="B393" s="5" t="s">
        <v>876</v>
      </c>
      <c r="C393" s="5"/>
      <c r="D393" s="5" t="s">
        <v>1502</v>
      </c>
      <c r="E393" s="5" t="s">
        <v>66</v>
      </c>
      <c r="F393" s="5" t="s">
        <v>32</v>
      </c>
      <c r="G393" s="5" t="s">
        <v>2719</v>
      </c>
    </row>
    <row r="394" spans="1:7">
      <c r="A394" s="5" t="s">
        <v>1046</v>
      </c>
      <c r="B394" s="5" t="s">
        <v>876</v>
      </c>
      <c r="C394" s="5"/>
      <c r="D394" s="5" t="s">
        <v>1532</v>
      </c>
      <c r="E394" s="5" t="s">
        <v>880</v>
      </c>
      <c r="F394" s="5" t="s">
        <v>32</v>
      </c>
      <c r="G394" s="5" t="s">
        <v>2720</v>
      </c>
    </row>
    <row r="395" spans="1:7">
      <c r="A395" s="5" t="s">
        <v>1048</v>
      </c>
      <c r="B395" s="5" t="s">
        <v>876</v>
      </c>
      <c r="C395" s="5"/>
      <c r="D395" s="5" t="s">
        <v>1485</v>
      </c>
      <c r="E395" s="5" t="s">
        <v>66</v>
      </c>
      <c r="F395" s="5" t="s">
        <v>32</v>
      </c>
      <c r="G395" s="5" t="s">
        <v>2719</v>
      </c>
    </row>
    <row r="396" spans="1:7">
      <c r="A396" s="5" t="s">
        <v>1050</v>
      </c>
      <c r="B396" s="5" t="s">
        <v>876</v>
      </c>
      <c r="C396" s="5"/>
      <c r="D396" s="5" t="s">
        <v>1353</v>
      </c>
      <c r="E396" s="5" t="s">
        <v>66</v>
      </c>
      <c r="F396" s="5" t="s">
        <v>32</v>
      </c>
      <c r="G396" s="5" t="s">
        <v>2719</v>
      </c>
    </row>
    <row r="397" spans="1:7">
      <c r="A397" s="5" t="s">
        <v>1052</v>
      </c>
      <c r="B397" s="5" t="s">
        <v>876</v>
      </c>
      <c r="C397" s="5"/>
      <c r="D397" s="5" t="s">
        <v>55</v>
      </c>
      <c r="E397" s="5" t="s">
        <v>31</v>
      </c>
      <c r="F397" s="5" t="s">
        <v>32</v>
      </c>
      <c r="G397" s="5" t="s">
        <v>2721</v>
      </c>
    </row>
    <row r="398" spans="1:7">
      <c r="A398" s="5" t="s">
        <v>1054</v>
      </c>
      <c r="B398" s="5" t="s">
        <v>876</v>
      </c>
      <c r="C398" s="5"/>
      <c r="D398" s="5" t="s">
        <v>1533</v>
      </c>
      <c r="E398" s="5" t="s">
        <v>880</v>
      </c>
      <c r="F398" s="5" t="s">
        <v>32</v>
      </c>
      <c r="G398" s="5" t="s">
        <v>2720</v>
      </c>
    </row>
    <row r="399" spans="1:7">
      <c r="A399" s="5" t="s">
        <v>1056</v>
      </c>
      <c r="B399" s="5" t="s">
        <v>876</v>
      </c>
      <c r="C399" s="5"/>
      <c r="D399" s="5" t="s">
        <v>1534</v>
      </c>
      <c r="E399" s="5" t="s">
        <v>66</v>
      </c>
      <c r="F399" s="5" t="s">
        <v>32</v>
      </c>
      <c r="G399" s="5" t="s">
        <v>2719</v>
      </c>
    </row>
    <row r="400" spans="1:7">
      <c r="A400" s="5" t="s">
        <v>1058</v>
      </c>
      <c r="B400" s="5" t="s">
        <v>876</v>
      </c>
      <c r="C400" s="5"/>
      <c r="D400" s="5" t="s">
        <v>1535</v>
      </c>
      <c r="E400" s="5" t="s">
        <v>42</v>
      </c>
      <c r="F400" s="5" t="s">
        <v>32</v>
      </c>
      <c r="G400" s="5" t="s">
        <v>2716</v>
      </c>
    </row>
    <row r="401" spans="1:7">
      <c r="A401" s="5" t="s">
        <v>1060</v>
      </c>
      <c r="B401" s="5" t="s">
        <v>876</v>
      </c>
      <c r="C401" s="5"/>
      <c r="D401" s="5" t="s">
        <v>1450</v>
      </c>
      <c r="E401" s="5" t="s">
        <v>890</v>
      </c>
      <c r="F401" s="5" t="s">
        <v>32</v>
      </c>
      <c r="G401" s="5" t="s">
        <v>2722</v>
      </c>
    </row>
    <row r="402" spans="1:7">
      <c r="A402" s="5" t="s">
        <v>1061</v>
      </c>
      <c r="B402" s="5" t="s">
        <v>876</v>
      </c>
      <c r="C402" s="5"/>
      <c r="D402" s="5" t="s">
        <v>1338</v>
      </c>
      <c r="E402" s="5" t="s">
        <v>880</v>
      </c>
      <c r="F402" s="5" t="s">
        <v>32</v>
      </c>
      <c r="G402" s="5" t="s">
        <v>2720</v>
      </c>
    </row>
    <row r="403" spans="1:7">
      <c r="A403" s="5" t="s">
        <v>1063</v>
      </c>
      <c r="B403" s="5" t="s">
        <v>876</v>
      </c>
      <c r="C403" s="5"/>
      <c r="D403" s="5" t="s">
        <v>1193</v>
      </c>
      <c r="E403" s="5" t="s">
        <v>890</v>
      </c>
      <c r="F403" s="5" t="s">
        <v>32</v>
      </c>
      <c r="G403" s="5" t="s">
        <v>2722</v>
      </c>
    </row>
    <row r="404" spans="1:7">
      <c r="A404" s="5" t="s">
        <v>1065</v>
      </c>
      <c r="B404" s="5" t="s">
        <v>876</v>
      </c>
      <c r="C404" s="5"/>
      <c r="D404" s="5" t="s">
        <v>500</v>
      </c>
      <c r="E404" s="5" t="s">
        <v>42</v>
      </c>
      <c r="F404" s="5" t="s">
        <v>32</v>
      </c>
      <c r="G404" s="5" t="s">
        <v>2716</v>
      </c>
    </row>
    <row r="405" spans="1:7">
      <c r="A405" s="5" t="s">
        <v>1067</v>
      </c>
      <c r="B405" s="5" t="s">
        <v>876</v>
      </c>
      <c r="C405" s="5"/>
      <c r="D405" s="5" t="s">
        <v>1172</v>
      </c>
      <c r="E405" s="5" t="s">
        <v>880</v>
      </c>
      <c r="F405" s="5" t="s">
        <v>32</v>
      </c>
      <c r="G405" s="5" t="s">
        <v>2720</v>
      </c>
    </row>
    <row r="406" spans="1:7">
      <c r="A406" s="5" t="s">
        <v>1069</v>
      </c>
      <c r="B406" s="5" t="s">
        <v>876</v>
      </c>
      <c r="C406" s="5"/>
      <c r="D406" s="5" t="s">
        <v>1536</v>
      </c>
      <c r="E406" s="5" t="s">
        <v>890</v>
      </c>
      <c r="F406" s="5" t="s">
        <v>32</v>
      </c>
      <c r="G406" s="5" t="s">
        <v>2722</v>
      </c>
    </row>
    <row r="407" spans="1:7">
      <c r="A407" s="5" t="s">
        <v>1071</v>
      </c>
      <c r="B407" s="5" t="s">
        <v>876</v>
      </c>
      <c r="C407" s="5"/>
      <c r="D407" s="5" t="s">
        <v>1139</v>
      </c>
      <c r="E407" s="5" t="s">
        <v>31</v>
      </c>
      <c r="F407" s="5" t="s">
        <v>32</v>
      </c>
      <c r="G407" s="5" t="s">
        <v>2721</v>
      </c>
    </row>
    <row r="408" spans="1:7">
      <c r="A408" s="5" t="s">
        <v>1073</v>
      </c>
      <c r="B408" s="5" t="s">
        <v>876</v>
      </c>
      <c r="C408" s="5"/>
      <c r="D408" s="5" t="s">
        <v>1393</v>
      </c>
      <c r="E408" s="5" t="s">
        <v>880</v>
      </c>
      <c r="F408" s="5" t="s">
        <v>32</v>
      </c>
      <c r="G408" s="5" t="s">
        <v>2720</v>
      </c>
    </row>
    <row r="409" spans="1:7">
      <c r="A409" s="5" t="s">
        <v>1075</v>
      </c>
      <c r="B409" s="5" t="s">
        <v>876</v>
      </c>
      <c r="C409" s="5"/>
      <c r="D409" s="5" t="s">
        <v>1537</v>
      </c>
      <c r="E409" s="5" t="s">
        <v>930</v>
      </c>
      <c r="F409" s="5" t="s">
        <v>32</v>
      </c>
      <c r="G409" s="5" t="s">
        <v>2723</v>
      </c>
    </row>
    <row r="410" spans="1:7">
      <c r="A410" s="5" t="s">
        <v>1077</v>
      </c>
      <c r="B410" s="5" t="s">
        <v>876</v>
      </c>
      <c r="C410" s="5"/>
      <c r="D410" s="5" t="s">
        <v>1348</v>
      </c>
      <c r="E410" s="5" t="s">
        <v>66</v>
      </c>
      <c r="F410" s="5" t="s">
        <v>32</v>
      </c>
      <c r="G410" s="5" t="s">
        <v>2719</v>
      </c>
    </row>
    <row r="411" spans="1:7">
      <c r="A411" s="5" t="s">
        <v>1078</v>
      </c>
      <c r="B411" s="5" t="s">
        <v>876</v>
      </c>
      <c r="C411" s="5"/>
      <c r="D411" s="5" t="s">
        <v>1538</v>
      </c>
      <c r="E411" s="5" t="s">
        <v>880</v>
      </c>
      <c r="F411" s="5" t="s">
        <v>32</v>
      </c>
      <c r="G411" s="5" t="s">
        <v>2720</v>
      </c>
    </row>
    <row r="412" spans="1:7">
      <c r="A412" s="5" t="s">
        <v>1080</v>
      </c>
      <c r="B412" s="5" t="s">
        <v>876</v>
      </c>
      <c r="C412" s="5"/>
      <c r="D412" s="5" t="s">
        <v>1539</v>
      </c>
      <c r="E412" s="5" t="s">
        <v>66</v>
      </c>
      <c r="F412" s="5" t="s">
        <v>32</v>
      </c>
      <c r="G412" s="5" t="s">
        <v>2719</v>
      </c>
    </row>
    <row r="413" spans="1:7">
      <c r="A413" s="5" t="s">
        <v>1082</v>
      </c>
      <c r="B413" s="5" t="s">
        <v>876</v>
      </c>
      <c r="C413" s="5"/>
      <c r="D413" s="5" t="s">
        <v>1424</v>
      </c>
      <c r="E413" s="5" t="s">
        <v>66</v>
      </c>
      <c r="F413" s="5" t="s">
        <v>32</v>
      </c>
      <c r="G413" s="5" t="s">
        <v>2719</v>
      </c>
    </row>
    <row r="414" spans="1:7">
      <c r="A414" s="5" t="s">
        <v>1084</v>
      </c>
      <c r="B414" s="5" t="s">
        <v>876</v>
      </c>
      <c r="C414" s="5"/>
      <c r="D414" s="5" t="s">
        <v>1540</v>
      </c>
      <c r="E414" s="5" t="s">
        <v>930</v>
      </c>
      <c r="F414" s="5" t="s">
        <v>32</v>
      </c>
      <c r="G414" s="5" t="s">
        <v>2723</v>
      </c>
    </row>
    <row r="415" spans="1:7">
      <c r="A415" s="5" t="s">
        <v>1086</v>
      </c>
      <c r="B415" s="5" t="s">
        <v>876</v>
      </c>
      <c r="C415" s="5"/>
      <c r="D415" s="5" t="s">
        <v>1541</v>
      </c>
      <c r="E415" s="5" t="s">
        <v>880</v>
      </c>
      <c r="F415" s="5" t="s">
        <v>32</v>
      </c>
      <c r="G415" s="5" t="s">
        <v>2720</v>
      </c>
    </row>
    <row r="416" spans="1:7">
      <c r="A416" s="5" t="s">
        <v>1088</v>
      </c>
      <c r="B416" s="5" t="s">
        <v>876</v>
      </c>
      <c r="C416" s="5"/>
      <c r="D416" s="5" t="s">
        <v>1395</v>
      </c>
      <c r="E416" s="5" t="s">
        <v>66</v>
      </c>
      <c r="F416" s="5" t="s">
        <v>32</v>
      </c>
      <c r="G416" s="5" t="s">
        <v>2719</v>
      </c>
    </row>
    <row r="417" spans="1:7">
      <c r="A417" s="5" t="s">
        <v>1090</v>
      </c>
      <c r="B417" s="5" t="s">
        <v>876</v>
      </c>
      <c r="C417" s="5"/>
      <c r="D417" s="5" t="s">
        <v>1542</v>
      </c>
      <c r="E417" s="5" t="s">
        <v>42</v>
      </c>
      <c r="F417" s="5" t="s">
        <v>32</v>
      </c>
      <c r="G417" s="5" t="s">
        <v>2716</v>
      </c>
    </row>
    <row r="418" spans="1:7">
      <c r="A418" s="5" t="s">
        <v>1092</v>
      </c>
      <c r="B418" s="5" t="s">
        <v>876</v>
      </c>
      <c r="C418" s="5"/>
      <c r="D418" s="5" t="s">
        <v>61</v>
      </c>
      <c r="E418" s="5" t="s">
        <v>42</v>
      </c>
      <c r="F418" s="5" t="s">
        <v>32</v>
      </c>
      <c r="G418" s="5" t="s">
        <v>2716</v>
      </c>
    </row>
    <row r="419" spans="1:7">
      <c r="A419" s="5" t="s">
        <v>1094</v>
      </c>
      <c r="B419" s="5" t="s">
        <v>876</v>
      </c>
      <c r="C419" s="5"/>
      <c r="D419" s="5" t="s">
        <v>1391</v>
      </c>
      <c r="E419" s="5" t="s">
        <v>880</v>
      </c>
      <c r="F419" s="5" t="s">
        <v>32</v>
      </c>
      <c r="G419" s="5" t="s">
        <v>2720</v>
      </c>
    </row>
    <row r="420" spans="1:7">
      <c r="A420" s="5" t="s">
        <v>1096</v>
      </c>
      <c r="B420" s="5" t="s">
        <v>876</v>
      </c>
      <c r="C420" s="5"/>
      <c r="D420" s="5" t="s">
        <v>1287</v>
      </c>
      <c r="E420" s="5" t="s">
        <v>66</v>
      </c>
      <c r="F420" s="5" t="s">
        <v>32</v>
      </c>
      <c r="G420" s="5" t="s">
        <v>2719</v>
      </c>
    </row>
    <row r="421" spans="1:7">
      <c r="A421" s="5" t="s">
        <v>1097</v>
      </c>
      <c r="B421" s="5" t="s">
        <v>876</v>
      </c>
      <c r="C421" s="5"/>
      <c r="D421" s="5" t="s">
        <v>1543</v>
      </c>
      <c r="E421" s="5" t="s">
        <v>66</v>
      </c>
      <c r="F421" s="5" t="s">
        <v>32</v>
      </c>
      <c r="G421" s="5" t="s">
        <v>2719</v>
      </c>
    </row>
    <row r="422" spans="1:7">
      <c r="A422" s="5" t="s">
        <v>1099</v>
      </c>
      <c r="B422" s="5" t="s">
        <v>876</v>
      </c>
      <c r="C422" s="5"/>
      <c r="D422" s="5" t="s">
        <v>65</v>
      </c>
      <c r="E422" s="5" t="s">
        <v>66</v>
      </c>
      <c r="F422" s="5" t="s">
        <v>32</v>
      </c>
      <c r="G422" s="5" t="s">
        <v>2719</v>
      </c>
    </row>
    <row r="423" spans="1:7">
      <c r="A423" s="5" t="s">
        <v>1101</v>
      </c>
      <c r="B423" s="5" t="s">
        <v>876</v>
      </c>
      <c r="C423" s="5"/>
      <c r="D423" s="5" t="s">
        <v>1544</v>
      </c>
      <c r="E423" s="5" t="s">
        <v>66</v>
      </c>
      <c r="F423" s="5" t="s">
        <v>32</v>
      </c>
      <c r="G423" s="5" t="s">
        <v>2719</v>
      </c>
    </row>
    <row r="424" spans="1:7">
      <c r="A424" s="5" t="s">
        <v>1103</v>
      </c>
      <c r="B424" s="5" t="s">
        <v>876</v>
      </c>
      <c r="C424" s="5"/>
      <c r="D424" s="5" t="s">
        <v>1545</v>
      </c>
      <c r="E424" s="5" t="s">
        <v>880</v>
      </c>
      <c r="F424" s="5" t="s">
        <v>32</v>
      </c>
      <c r="G424" s="5" t="s">
        <v>2720</v>
      </c>
    </row>
    <row r="425" spans="1:7">
      <c r="A425" s="5" t="s">
        <v>1104</v>
      </c>
      <c r="B425" s="5" t="s">
        <v>876</v>
      </c>
      <c r="C425" s="5"/>
      <c r="D425" s="5" t="s">
        <v>1366</v>
      </c>
      <c r="E425" s="5" t="s">
        <v>66</v>
      </c>
      <c r="F425" s="5" t="s">
        <v>32</v>
      </c>
      <c r="G425" s="5" t="s">
        <v>2719</v>
      </c>
    </row>
    <row r="426" spans="1:7">
      <c r="A426" s="5" t="s">
        <v>1105</v>
      </c>
      <c r="B426" s="5" t="s">
        <v>876</v>
      </c>
      <c r="C426" s="5"/>
      <c r="D426" s="5" t="s">
        <v>30</v>
      </c>
      <c r="E426" s="5" t="s">
        <v>31</v>
      </c>
      <c r="F426" s="5" t="s">
        <v>32</v>
      </c>
      <c r="G426" s="5" t="s">
        <v>2721</v>
      </c>
    </row>
    <row r="427" spans="1:7">
      <c r="A427" s="5" t="s">
        <v>1106</v>
      </c>
      <c r="B427" s="5" t="s">
        <v>876</v>
      </c>
      <c r="C427" s="5"/>
      <c r="D427" s="5" t="s">
        <v>1229</v>
      </c>
      <c r="E427" s="5" t="s">
        <v>66</v>
      </c>
      <c r="F427" s="5" t="s">
        <v>32</v>
      </c>
      <c r="G427" s="5" t="s">
        <v>2719</v>
      </c>
    </row>
    <row r="428" spans="1:7">
      <c r="A428" s="5" t="s">
        <v>1108</v>
      </c>
      <c r="B428" s="5" t="s">
        <v>876</v>
      </c>
      <c r="C428" s="5"/>
      <c r="D428" s="5" t="s">
        <v>1538</v>
      </c>
      <c r="E428" s="5" t="s">
        <v>66</v>
      </c>
      <c r="F428" s="5" t="s">
        <v>32</v>
      </c>
      <c r="G428" s="5" t="s">
        <v>2719</v>
      </c>
    </row>
    <row r="429" spans="1:7">
      <c r="A429" s="5" t="s">
        <v>1110</v>
      </c>
      <c r="B429" s="5" t="s">
        <v>876</v>
      </c>
      <c r="C429" s="5"/>
      <c r="D429" s="5" t="s">
        <v>1152</v>
      </c>
      <c r="E429" s="5" t="s">
        <v>890</v>
      </c>
      <c r="F429" s="5" t="s">
        <v>32</v>
      </c>
      <c r="G429" s="5" t="s">
        <v>2722</v>
      </c>
    </row>
    <row r="430" spans="1:7">
      <c r="A430" s="5" t="s">
        <v>1112</v>
      </c>
      <c r="B430" s="5" t="s">
        <v>876</v>
      </c>
      <c r="C430" s="5"/>
      <c r="D430" s="5" t="s">
        <v>1546</v>
      </c>
      <c r="E430" s="5" t="s">
        <v>42</v>
      </c>
      <c r="F430" s="5" t="s">
        <v>32</v>
      </c>
      <c r="G430" s="5" t="s">
        <v>2716</v>
      </c>
    </row>
    <row r="431" spans="1:7">
      <c r="A431" s="5" t="s">
        <v>1113</v>
      </c>
      <c r="B431" s="5" t="s">
        <v>876</v>
      </c>
      <c r="C431" s="5"/>
      <c r="D431" s="5" t="s">
        <v>1089</v>
      </c>
      <c r="E431" s="5" t="s">
        <v>880</v>
      </c>
      <c r="F431" s="5" t="s">
        <v>32</v>
      </c>
      <c r="G431" s="5" t="s">
        <v>2720</v>
      </c>
    </row>
    <row r="432" spans="1:7">
      <c r="A432" s="5" t="s">
        <v>1115</v>
      </c>
      <c r="B432" s="5" t="s">
        <v>876</v>
      </c>
      <c r="C432" s="5"/>
      <c r="D432" s="5" t="s">
        <v>1258</v>
      </c>
      <c r="E432" s="5" t="s">
        <v>890</v>
      </c>
      <c r="F432" s="5" t="s">
        <v>32</v>
      </c>
      <c r="G432" s="5" t="s">
        <v>2722</v>
      </c>
    </row>
    <row r="433" spans="1:7">
      <c r="A433" s="5" t="s">
        <v>1117</v>
      </c>
      <c r="B433" s="5" t="s">
        <v>876</v>
      </c>
      <c r="C433" s="5"/>
      <c r="D433" s="5" t="s">
        <v>1165</v>
      </c>
      <c r="E433" s="5" t="s">
        <v>66</v>
      </c>
      <c r="F433" s="5" t="s">
        <v>32</v>
      </c>
      <c r="G433" s="5" t="s">
        <v>2719</v>
      </c>
    </row>
    <row r="434" spans="1:7">
      <c r="A434" s="5" t="s">
        <v>1119</v>
      </c>
      <c r="B434" s="5" t="s">
        <v>876</v>
      </c>
      <c r="C434" s="5"/>
      <c r="D434" s="5" t="s">
        <v>1436</v>
      </c>
      <c r="E434" s="5" t="s">
        <v>66</v>
      </c>
      <c r="F434" s="5" t="s">
        <v>32</v>
      </c>
      <c r="G434" s="5" t="s">
        <v>2719</v>
      </c>
    </row>
    <row r="435" spans="1:7">
      <c r="A435" s="5" t="s">
        <v>1121</v>
      </c>
      <c r="B435" s="5" t="s">
        <v>876</v>
      </c>
      <c r="C435" s="5"/>
      <c r="D435" s="5" t="s">
        <v>1547</v>
      </c>
      <c r="E435" s="5" t="s">
        <v>890</v>
      </c>
      <c r="F435" s="5" t="s">
        <v>32</v>
      </c>
      <c r="G435" s="5" t="s">
        <v>2722</v>
      </c>
    </row>
    <row r="436" spans="1:7">
      <c r="A436" s="5" t="s">
        <v>1123</v>
      </c>
      <c r="B436" s="5" t="s">
        <v>876</v>
      </c>
      <c r="C436" s="5"/>
      <c r="D436" s="5" t="s">
        <v>1548</v>
      </c>
      <c r="E436" s="5" t="s">
        <v>890</v>
      </c>
      <c r="F436" s="5" t="s">
        <v>32</v>
      </c>
      <c r="G436" s="5" t="s">
        <v>2722</v>
      </c>
    </row>
    <row r="437" spans="1:7">
      <c r="A437" s="5" t="s">
        <v>1125</v>
      </c>
      <c r="B437" s="5" t="s">
        <v>876</v>
      </c>
      <c r="C437" s="5"/>
      <c r="D437" s="5" t="s">
        <v>1364</v>
      </c>
      <c r="E437" s="5" t="s">
        <v>66</v>
      </c>
      <c r="F437" s="5" t="s">
        <v>32</v>
      </c>
      <c r="G437" s="5" t="s">
        <v>2719</v>
      </c>
    </row>
    <row r="438" spans="1:7">
      <c r="A438" s="5" t="s">
        <v>1128</v>
      </c>
      <c r="B438" s="5" t="s">
        <v>876</v>
      </c>
      <c r="C438" s="5"/>
      <c r="D438" s="5" t="s">
        <v>1254</v>
      </c>
      <c r="E438" s="5" t="s">
        <v>880</v>
      </c>
      <c r="F438" s="5" t="s">
        <v>32</v>
      </c>
      <c r="G438" s="5" t="s">
        <v>2720</v>
      </c>
    </row>
    <row r="439" spans="1:7">
      <c r="A439" s="5" t="s">
        <v>1130</v>
      </c>
      <c r="B439" s="5" t="s">
        <v>876</v>
      </c>
      <c r="C439" s="5"/>
      <c r="D439" s="5" t="s">
        <v>1549</v>
      </c>
      <c r="E439" s="5" t="s">
        <v>42</v>
      </c>
      <c r="F439" s="5" t="s">
        <v>32</v>
      </c>
      <c r="G439" s="5" t="s">
        <v>2716</v>
      </c>
    </row>
    <row r="440" spans="1:7">
      <c r="A440" s="5" t="s">
        <v>1132</v>
      </c>
      <c r="B440" s="5" t="s">
        <v>876</v>
      </c>
      <c r="C440" s="5"/>
      <c r="D440" s="5" t="s">
        <v>1522</v>
      </c>
      <c r="E440" s="5" t="s">
        <v>880</v>
      </c>
      <c r="F440" s="5" t="s">
        <v>32</v>
      </c>
      <c r="G440" s="5" t="s">
        <v>2720</v>
      </c>
    </row>
    <row r="441" spans="1:7">
      <c r="A441" s="5" t="s">
        <v>1134</v>
      </c>
      <c r="B441" s="5" t="s">
        <v>876</v>
      </c>
      <c r="C441" s="5"/>
      <c r="D441" s="5" t="s">
        <v>1550</v>
      </c>
      <c r="E441" s="5" t="s">
        <v>66</v>
      </c>
      <c r="F441" s="5" t="s">
        <v>32</v>
      </c>
      <c r="G441" s="5" t="s">
        <v>2719</v>
      </c>
    </row>
    <row r="442" spans="1:7">
      <c r="A442" s="5" t="s">
        <v>1136</v>
      </c>
      <c r="B442" s="5" t="s">
        <v>876</v>
      </c>
      <c r="C442" s="5"/>
      <c r="D442" s="5" t="s">
        <v>1551</v>
      </c>
      <c r="E442" s="5" t="s">
        <v>880</v>
      </c>
      <c r="F442" s="5" t="s">
        <v>32</v>
      </c>
      <c r="G442" s="5" t="s">
        <v>2720</v>
      </c>
    </row>
    <row r="443" spans="1:7">
      <c r="A443" s="5" t="s">
        <v>1138</v>
      </c>
      <c r="B443" s="5" t="s">
        <v>876</v>
      </c>
      <c r="C443" s="5"/>
      <c r="D443" s="5" t="s">
        <v>1242</v>
      </c>
      <c r="E443" s="5" t="s">
        <v>66</v>
      </c>
      <c r="F443" s="5" t="s">
        <v>32</v>
      </c>
      <c r="G443" s="5" t="s">
        <v>2719</v>
      </c>
    </row>
    <row r="444" spans="1:7">
      <c r="A444" s="5" t="s">
        <v>1140</v>
      </c>
      <c r="B444" s="5" t="s">
        <v>876</v>
      </c>
      <c r="C444" s="5"/>
      <c r="D444" s="5" t="s">
        <v>1552</v>
      </c>
      <c r="E444" s="5" t="s">
        <v>42</v>
      </c>
      <c r="F444" s="5" t="s">
        <v>32</v>
      </c>
      <c r="G444" s="5" t="s">
        <v>2716</v>
      </c>
    </row>
    <row r="445" spans="1:7">
      <c r="A445" s="5" t="s">
        <v>1141</v>
      </c>
      <c r="B445" s="5" t="s">
        <v>876</v>
      </c>
      <c r="C445" s="5"/>
      <c r="D445" s="5" t="s">
        <v>53</v>
      </c>
      <c r="E445" s="5" t="s">
        <v>42</v>
      </c>
      <c r="F445" s="5" t="s">
        <v>32</v>
      </c>
      <c r="G445" s="5" t="s">
        <v>2716</v>
      </c>
    </row>
    <row r="446" spans="1:7">
      <c r="A446" s="5" t="s">
        <v>1143</v>
      </c>
      <c r="B446" s="5" t="s">
        <v>876</v>
      </c>
      <c r="C446" s="5"/>
      <c r="D446" s="5" t="s">
        <v>1553</v>
      </c>
      <c r="E446" s="5" t="s">
        <v>31</v>
      </c>
      <c r="F446" s="5" t="s">
        <v>32</v>
      </c>
      <c r="G446" s="5" t="s">
        <v>2721</v>
      </c>
    </row>
    <row r="447" spans="1:7">
      <c r="A447" s="5" t="s">
        <v>1145</v>
      </c>
      <c r="B447" s="5" t="s">
        <v>876</v>
      </c>
      <c r="C447" s="5"/>
      <c r="D447" s="5" t="s">
        <v>1182</v>
      </c>
      <c r="E447" s="5" t="s">
        <v>66</v>
      </c>
      <c r="F447" s="5" t="s">
        <v>32</v>
      </c>
      <c r="G447" s="5" t="s">
        <v>2719</v>
      </c>
    </row>
    <row r="448" spans="1:7">
      <c r="A448" s="5" t="s">
        <v>1147</v>
      </c>
      <c r="B448" s="5" t="s">
        <v>876</v>
      </c>
      <c r="C448" s="5"/>
      <c r="D448" s="5" t="s">
        <v>1511</v>
      </c>
      <c r="E448" s="5" t="s">
        <v>66</v>
      </c>
      <c r="F448" s="5" t="s">
        <v>32</v>
      </c>
      <c r="G448" s="5" t="s">
        <v>2719</v>
      </c>
    </row>
    <row r="449" spans="1:7">
      <c r="A449" s="5" t="s">
        <v>1148</v>
      </c>
      <c r="B449" s="5" t="s">
        <v>876</v>
      </c>
      <c r="C449" s="5"/>
      <c r="D449" s="5" t="s">
        <v>1200</v>
      </c>
      <c r="E449" s="5" t="s">
        <v>890</v>
      </c>
      <c r="F449" s="5" t="s">
        <v>32</v>
      </c>
      <c r="G449" s="5" t="s">
        <v>2722</v>
      </c>
    </row>
    <row r="450" spans="1:7">
      <c r="A450" s="5" t="s">
        <v>1149</v>
      </c>
      <c r="B450" s="5" t="s">
        <v>876</v>
      </c>
      <c r="C450" s="5"/>
      <c r="D450" s="5" t="s">
        <v>1528</v>
      </c>
      <c r="E450" s="5" t="s">
        <v>66</v>
      </c>
      <c r="F450" s="5" t="s">
        <v>32</v>
      </c>
      <c r="G450" s="5" t="s">
        <v>2719</v>
      </c>
    </row>
    <row r="451" spans="1:7">
      <c r="A451" s="5" t="s">
        <v>1151</v>
      </c>
      <c r="B451" s="5" t="s">
        <v>876</v>
      </c>
      <c r="C451" s="5"/>
      <c r="D451" s="5" t="s">
        <v>1070</v>
      </c>
      <c r="E451" s="5" t="s">
        <v>880</v>
      </c>
      <c r="F451" s="5" t="s">
        <v>32</v>
      </c>
      <c r="G451" s="5" t="s">
        <v>2720</v>
      </c>
    </row>
    <row r="452" spans="1:7">
      <c r="A452" s="5" t="s">
        <v>1153</v>
      </c>
      <c r="B452" s="5" t="s">
        <v>876</v>
      </c>
      <c r="C452" s="5"/>
      <c r="D452" s="5" t="s">
        <v>71</v>
      </c>
      <c r="E452" s="5" t="s">
        <v>42</v>
      </c>
      <c r="F452" s="5" t="s">
        <v>32</v>
      </c>
      <c r="G452" s="5" t="s">
        <v>2716</v>
      </c>
    </row>
    <row r="453" spans="1:7">
      <c r="A453" s="5" t="s">
        <v>1154</v>
      </c>
      <c r="B453" s="5" t="s">
        <v>876</v>
      </c>
      <c r="C453" s="5"/>
      <c r="D453" s="5" t="s">
        <v>1310</v>
      </c>
      <c r="E453" s="5" t="s">
        <v>890</v>
      </c>
      <c r="F453" s="5" t="s">
        <v>32</v>
      </c>
      <c r="G453" s="5" t="s">
        <v>2722</v>
      </c>
    </row>
    <row r="454" spans="1:7">
      <c r="A454" s="5" t="s">
        <v>1156</v>
      </c>
      <c r="B454" s="5" t="s">
        <v>876</v>
      </c>
      <c r="C454" s="5"/>
      <c r="D454" s="5" t="s">
        <v>1555</v>
      </c>
      <c r="E454" s="5" t="s">
        <v>66</v>
      </c>
      <c r="F454" s="5" t="s">
        <v>32</v>
      </c>
      <c r="G454" s="5" t="s">
        <v>2719</v>
      </c>
    </row>
    <row r="455" spans="1:7">
      <c r="A455" s="5" t="s">
        <v>1158</v>
      </c>
      <c r="B455" s="5" t="s">
        <v>876</v>
      </c>
      <c r="C455" s="5"/>
      <c r="D455" s="5" t="s">
        <v>1556</v>
      </c>
      <c r="E455" s="5" t="s">
        <v>940</v>
      </c>
      <c r="F455" s="5" t="s">
        <v>32</v>
      </c>
      <c r="G455" s="5" t="s">
        <v>2724</v>
      </c>
    </row>
    <row r="456" spans="1:7">
      <c r="A456" s="5" t="s">
        <v>1160</v>
      </c>
      <c r="B456" s="5" t="s">
        <v>876</v>
      </c>
      <c r="C456" s="5"/>
      <c r="D456" s="5" t="s">
        <v>1223</v>
      </c>
      <c r="E456" s="5" t="s">
        <v>66</v>
      </c>
      <c r="F456" s="5" t="s">
        <v>32</v>
      </c>
      <c r="G456" s="5" t="s">
        <v>2719</v>
      </c>
    </row>
    <row r="457" spans="1:7">
      <c r="A457" s="5" t="s">
        <v>1162</v>
      </c>
      <c r="B457" s="5" t="s">
        <v>876</v>
      </c>
      <c r="C457" s="5"/>
      <c r="D457" s="5" t="s">
        <v>1557</v>
      </c>
      <c r="E457" s="5" t="s">
        <v>940</v>
      </c>
      <c r="F457" s="5" t="s">
        <v>32</v>
      </c>
      <c r="G457" s="5" t="s">
        <v>2724</v>
      </c>
    </row>
    <row r="458" spans="1:7">
      <c r="A458" s="5" t="s">
        <v>1164</v>
      </c>
      <c r="B458" s="5" t="s">
        <v>876</v>
      </c>
      <c r="C458" s="5"/>
      <c r="D458" s="5" t="s">
        <v>1500</v>
      </c>
      <c r="E458" s="5" t="s">
        <v>880</v>
      </c>
      <c r="F458" s="5" t="s">
        <v>32</v>
      </c>
      <c r="G458" s="5" t="s">
        <v>2720</v>
      </c>
    </row>
    <row r="459" spans="1:7">
      <c r="A459" s="5" t="s">
        <v>1166</v>
      </c>
      <c r="B459" s="5" t="s">
        <v>876</v>
      </c>
      <c r="C459" s="5"/>
      <c r="D459" s="5" t="s">
        <v>1220</v>
      </c>
      <c r="E459" s="5" t="s">
        <v>66</v>
      </c>
      <c r="F459" s="5" t="s">
        <v>32</v>
      </c>
      <c r="G459" s="5" t="s">
        <v>2719</v>
      </c>
    </row>
    <row r="460" spans="1:7">
      <c r="A460" s="5" t="s">
        <v>1168</v>
      </c>
      <c r="B460" s="5" t="s">
        <v>876</v>
      </c>
      <c r="C460" s="5"/>
      <c r="D460" s="5" t="s">
        <v>1234</v>
      </c>
      <c r="E460" s="5" t="s">
        <v>66</v>
      </c>
      <c r="F460" s="5" t="s">
        <v>32</v>
      </c>
      <c r="G460" s="5" t="s">
        <v>2719</v>
      </c>
    </row>
    <row r="461" spans="1:7">
      <c r="A461" s="5" t="s">
        <v>1170</v>
      </c>
      <c r="B461" s="5" t="s">
        <v>876</v>
      </c>
      <c r="C461" s="5"/>
      <c r="D461" s="5" t="s">
        <v>1516</v>
      </c>
      <c r="E461" s="5" t="s">
        <v>890</v>
      </c>
      <c r="F461" s="5" t="s">
        <v>32</v>
      </c>
      <c r="G461" s="5" t="s">
        <v>2722</v>
      </c>
    </row>
    <row r="462" spans="1:7">
      <c r="A462" s="5" t="s">
        <v>1171</v>
      </c>
      <c r="B462" s="5" t="s">
        <v>876</v>
      </c>
      <c r="C462" s="5"/>
      <c r="D462" s="5" t="s">
        <v>1543</v>
      </c>
      <c r="E462" s="5" t="s">
        <v>890</v>
      </c>
      <c r="F462" s="5" t="s">
        <v>32</v>
      </c>
      <c r="G462" s="5" t="s">
        <v>2722</v>
      </c>
    </row>
    <row r="463" spans="1:7">
      <c r="A463" s="5" t="s">
        <v>1173</v>
      </c>
      <c r="B463" s="5" t="s">
        <v>876</v>
      </c>
      <c r="C463" s="5"/>
      <c r="D463" s="5" t="s">
        <v>1240</v>
      </c>
      <c r="E463" s="5" t="s">
        <v>880</v>
      </c>
      <c r="F463" s="5" t="s">
        <v>32</v>
      </c>
      <c r="G463" s="5" t="s">
        <v>2720</v>
      </c>
    </row>
    <row r="464" spans="1:7">
      <c r="A464" s="5" t="s">
        <v>1175</v>
      </c>
      <c r="B464" s="5" t="s">
        <v>876</v>
      </c>
      <c r="C464" s="5"/>
      <c r="D464" s="5" t="s">
        <v>966</v>
      </c>
      <c r="E464" s="5" t="s">
        <v>880</v>
      </c>
      <c r="F464" s="5" t="s">
        <v>32</v>
      </c>
      <c r="G464" s="5" t="s">
        <v>2720</v>
      </c>
    </row>
    <row r="465" spans="1:7">
      <c r="A465" s="5" t="s">
        <v>1176</v>
      </c>
      <c r="B465" s="5" t="s">
        <v>876</v>
      </c>
      <c r="C465" s="5"/>
      <c r="D465" s="5" t="s">
        <v>1558</v>
      </c>
      <c r="E465" s="5" t="s">
        <v>66</v>
      </c>
      <c r="F465" s="5" t="s">
        <v>32</v>
      </c>
      <c r="G465" s="5" t="s">
        <v>2719</v>
      </c>
    </row>
    <row r="466" spans="1:7">
      <c r="A466" s="5" t="s">
        <v>1178</v>
      </c>
      <c r="B466" s="5" t="s">
        <v>876</v>
      </c>
      <c r="C466" s="5"/>
      <c r="D466" s="5" t="s">
        <v>1039</v>
      </c>
      <c r="E466" s="5" t="s">
        <v>890</v>
      </c>
      <c r="F466" s="5" t="s">
        <v>32</v>
      </c>
      <c r="G466" s="5" t="s">
        <v>2722</v>
      </c>
    </row>
    <row r="467" spans="1:7">
      <c r="A467" s="5" t="s">
        <v>1180</v>
      </c>
      <c r="B467" s="5" t="s">
        <v>876</v>
      </c>
      <c r="C467" s="5"/>
      <c r="D467" s="5" t="s">
        <v>1436</v>
      </c>
      <c r="E467" s="5" t="s">
        <v>880</v>
      </c>
      <c r="F467" s="5" t="s">
        <v>32</v>
      </c>
      <c r="G467" s="5" t="s">
        <v>2720</v>
      </c>
    </row>
    <row r="468" spans="1:7">
      <c r="A468" s="5" t="s">
        <v>1181</v>
      </c>
      <c r="B468" s="5" t="s">
        <v>876</v>
      </c>
      <c r="C468" s="5"/>
      <c r="D468" s="5" t="s">
        <v>1559</v>
      </c>
      <c r="E468" s="5" t="s">
        <v>42</v>
      </c>
      <c r="F468" s="5" t="s">
        <v>32</v>
      </c>
      <c r="G468" s="5" t="s">
        <v>2716</v>
      </c>
    </row>
    <row r="469" spans="1:7">
      <c r="A469" s="5" t="s">
        <v>1183</v>
      </c>
      <c r="B469" s="5" t="s">
        <v>876</v>
      </c>
      <c r="C469" s="5"/>
      <c r="D469" s="5" t="s">
        <v>1560</v>
      </c>
      <c r="E469" s="5" t="s">
        <v>31</v>
      </c>
      <c r="F469" s="5" t="s">
        <v>32</v>
      </c>
      <c r="G469" s="5" t="s">
        <v>2721</v>
      </c>
    </row>
    <row r="470" spans="1:7">
      <c r="A470" s="5" t="s">
        <v>1185</v>
      </c>
      <c r="B470" s="5" t="s">
        <v>876</v>
      </c>
      <c r="C470" s="5"/>
      <c r="D470" s="5" t="s">
        <v>1000</v>
      </c>
      <c r="E470" s="5" t="s">
        <v>880</v>
      </c>
      <c r="F470" s="5" t="s">
        <v>32</v>
      </c>
      <c r="G470" s="5" t="s">
        <v>2720</v>
      </c>
    </row>
    <row r="471" spans="1:7">
      <c r="A471" s="5" t="s">
        <v>1186</v>
      </c>
      <c r="B471" s="5" t="s">
        <v>876</v>
      </c>
      <c r="C471" s="5"/>
      <c r="D471" s="5" t="s">
        <v>1561</v>
      </c>
      <c r="E471" s="5" t="s">
        <v>880</v>
      </c>
      <c r="F471" s="5" t="s">
        <v>32</v>
      </c>
      <c r="G471" s="5" t="s">
        <v>2720</v>
      </c>
    </row>
    <row r="472" spans="1:7">
      <c r="A472" s="5" t="s">
        <v>1188</v>
      </c>
      <c r="B472" s="5" t="s">
        <v>876</v>
      </c>
      <c r="C472" s="5"/>
      <c r="D472" s="5" t="s">
        <v>1161</v>
      </c>
      <c r="E472" s="5" t="s">
        <v>66</v>
      </c>
      <c r="F472" s="5" t="s">
        <v>32</v>
      </c>
      <c r="G472" s="5" t="s">
        <v>2719</v>
      </c>
    </row>
    <row r="473" spans="1:7">
      <c r="A473" s="5" t="s">
        <v>1190</v>
      </c>
      <c r="B473" s="5" t="s">
        <v>876</v>
      </c>
      <c r="C473" s="5"/>
      <c r="D473" s="5" t="s">
        <v>1563</v>
      </c>
      <c r="E473" s="5" t="s">
        <v>880</v>
      </c>
      <c r="F473" s="5" t="s">
        <v>32</v>
      </c>
      <c r="G473" s="5" t="s">
        <v>2720</v>
      </c>
    </row>
    <row r="474" spans="1:7">
      <c r="A474" s="5" t="s">
        <v>1192</v>
      </c>
      <c r="B474" s="5" t="s">
        <v>876</v>
      </c>
      <c r="C474" s="5"/>
      <c r="D474" s="5" t="s">
        <v>1564</v>
      </c>
      <c r="E474" s="5" t="s">
        <v>930</v>
      </c>
      <c r="F474" s="5" t="s">
        <v>32</v>
      </c>
      <c r="G474" s="5" t="s">
        <v>2723</v>
      </c>
    </row>
    <row r="475" spans="1:7">
      <c r="A475" s="5" t="s">
        <v>1194</v>
      </c>
      <c r="B475" s="5" t="s">
        <v>876</v>
      </c>
      <c r="C475" s="5"/>
      <c r="D475" s="5" t="s">
        <v>1565</v>
      </c>
      <c r="E475" s="5" t="s">
        <v>66</v>
      </c>
      <c r="F475" s="5" t="s">
        <v>32</v>
      </c>
      <c r="G475" s="5" t="s">
        <v>2719</v>
      </c>
    </row>
    <row r="476" spans="1:7">
      <c r="A476" s="5" t="s">
        <v>1196</v>
      </c>
      <c r="B476" s="5" t="s">
        <v>876</v>
      </c>
      <c r="C476" s="5"/>
      <c r="D476" s="5" t="s">
        <v>1548</v>
      </c>
      <c r="E476" s="5" t="s">
        <v>66</v>
      </c>
      <c r="F476" s="5" t="s">
        <v>32</v>
      </c>
      <c r="G476" s="5" t="s">
        <v>2719</v>
      </c>
    </row>
    <row r="477" spans="1:7">
      <c r="A477" s="5" t="s">
        <v>1197</v>
      </c>
      <c r="B477" s="5" t="s">
        <v>876</v>
      </c>
      <c r="C477" s="5"/>
      <c r="D477" s="5" t="s">
        <v>1150</v>
      </c>
      <c r="E477" s="5" t="s">
        <v>890</v>
      </c>
      <c r="F477" s="5" t="s">
        <v>32</v>
      </c>
      <c r="G477" s="5" t="s">
        <v>2722</v>
      </c>
    </row>
    <row r="478" spans="1:7">
      <c r="A478" s="5" t="s">
        <v>1199</v>
      </c>
      <c r="B478" s="5" t="s">
        <v>876</v>
      </c>
      <c r="C478" s="5"/>
      <c r="D478" s="5" t="s">
        <v>1292</v>
      </c>
      <c r="E478" s="5" t="s">
        <v>66</v>
      </c>
      <c r="F478" s="5" t="s">
        <v>32</v>
      </c>
      <c r="G478" s="5" t="s">
        <v>2719</v>
      </c>
    </row>
    <row r="479" spans="1:7">
      <c r="A479" s="5" t="s">
        <v>1201</v>
      </c>
      <c r="B479" s="5" t="s">
        <v>876</v>
      </c>
      <c r="C479" s="5"/>
      <c r="D479" s="5" t="s">
        <v>1122</v>
      </c>
      <c r="E479" s="5" t="s">
        <v>890</v>
      </c>
      <c r="F479" s="5" t="s">
        <v>32</v>
      </c>
      <c r="G479" s="5" t="s">
        <v>2722</v>
      </c>
    </row>
    <row r="480" spans="1:7">
      <c r="A480" s="5" t="s">
        <v>1203</v>
      </c>
      <c r="B480" s="5" t="s">
        <v>876</v>
      </c>
      <c r="C480" s="5"/>
      <c r="D480" s="5" t="s">
        <v>1187</v>
      </c>
      <c r="E480" s="5" t="s">
        <v>66</v>
      </c>
      <c r="F480" s="5" t="s">
        <v>32</v>
      </c>
      <c r="G480" s="5" t="s">
        <v>2719</v>
      </c>
    </row>
    <row r="481" spans="1:7">
      <c r="A481" s="5" t="s">
        <v>1205</v>
      </c>
      <c r="B481" s="5" t="s">
        <v>876</v>
      </c>
      <c r="C481" s="5"/>
      <c r="D481" s="5" t="s">
        <v>1370</v>
      </c>
      <c r="E481" s="5" t="s">
        <v>890</v>
      </c>
      <c r="F481" s="5" t="s">
        <v>32</v>
      </c>
      <c r="G481" s="5" t="s">
        <v>2722</v>
      </c>
    </row>
    <row r="482" spans="1:7">
      <c r="A482" s="5" t="s">
        <v>1206</v>
      </c>
      <c r="B482" s="5" t="s">
        <v>876</v>
      </c>
      <c r="C482" s="5"/>
      <c r="D482" s="5" t="s">
        <v>1010</v>
      </c>
      <c r="E482" s="5" t="s">
        <v>880</v>
      </c>
      <c r="F482" s="5" t="s">
        <v>32</v>
      </c>
      <c r="G482" s="5" t="s">
        <v>2720</v>
      </c>
    </row>
    <row r="483" spans="1:7">
      <c r="A483" s="5" t="s">
        <v>1208</v>
      </c>
      <c r="B483" s="5" t="s">
        <v>876</v>
      </c>
      <c r="C483" s="5"/>
      <c r="D483" s="5" t="s">
        <v>1362</v>
      </c>
      <c r="E483" s="5" t="s">
        <v>66</v>
      </c>
      <c r="F483" s="5" t="s">
        <v>32</v>
      </c>
      <c r="G483" s="5" t="s">
        <v>2719</v>
      </c>
    </row>
    <row r="484" spans="1:7">
      <c r="A484" s="5" t="s">
        <v>1210</v>
      </c>
      <c r="B484" s="5" t="s">
        <v>876</v>
      </c>
      <c r="C484" s="5"/>
      <c r="D484" s="5" t="s">
        <v>1561</v>
      </c>
      <c r="E484" s="5" t="s">
        <v>66</v>
      </c>
      <c r="F484" s="5" t="s">
        <v>32</v>
      </c>
      <c r="G484" s="5" t="s">
        <v>2719</v>
      </c>
    </row>
    <row r="485" spans="1:7">
      <c r="A485" s="5" t="s">
        <v>1212</v>
      </c>
      <c r="B485" s="5" t="s">
        <v>876</v>
      </c>
      <c r="C485" s="5"/>
      <c r="D485" s="5" t="s">
        <v>1563</v>
      </c>
      <c r="E485" s="5" t="s">
        <v>66</v>
      </c>
      <c r="F485" s="5" t="s">
        <v>32</v>
      </c>
      <c r="G485" s="5" t="s">
        <v>2719</v>
      </c>
    </row>
    <row r="486" spans="1:7">
      <c r="A486" s="5" t="s">
        <v>1213</v>
      </c>
      <c r="B486" s="5" t="s">
        <v>876</v>
      </c>
      <c r="C486" s="5"/>
      <c r="D486" s="5" t="s">
        <v>1566</v>
      </c>
      <c r="E486" s="5" t="s">
        <v>930</v>
      </c>
      <c r="F486" s="5" t="s">
        <v>32</v>
      </c>
      <c r="G486" s="5" t="s">
        <v>2723</v>
      </c>
    </row>
    <row r="487" spans="1:7">
      <c r="A487" s="5" t="s">
        <v>1215</v>
      </c>
      <c r="B487" s="5" t="s">
        <v>876</v>
      </c>
      <c r="C487" s="5"/>
      <c r="D487" s="5" t="s">
        <v>1519</v>
      </c>
      <c r="E487" s="5" t="s">
        <v>66</v>
      </c>
      <c r="F487" s="5" t="s">
        <v>32</v>
      </c>
      <c r="G487" s="5" t="s">
        <v>2719</v>
      </c>
    </row>
    <row r="488" spans="1:7">
      <c r="A488" s="5" t="s">
        <v>1217</v>
      </c>
      <c r="B488" s="5" t="s">
        <v>876</v>
      </c>
      <c r="C488" s="5"/>
      <c r="D488" s="5" t="s">
        <v>944</v>
      </c>
      <c r="E488" s="5" t="s">
        <v>66</v>
      </c>
      <c r="F488" s="5" t="s">
        <v>32</v>
      </c>
      <c r="G488" s="5" t="s">
        <v>2719</v>
      </c>
    </row>
    <row r="489" spans="1:7">
      <c r="A489" s="5" t="s">
        <v>1219</v>
      </c>
      <c r="B489" s="5" t="s">
        <v>876</v>
      </c>
      <c r="C489" s="5"/>
      <c r="D489" s="5" t="s">
        <v>1137</v>
      </c>
      <c r="E489" s="5" t="s">
        <v>890</v>
      </c>
      <c r="F489" s="5" t="s">
        <v>32</v>
      </c>
      <c r="G489" s="5" t="s">
        <v>2722</v>
      </c>
    </row>
    <row r="490" spans="1:7">
      <c r="A490" s="5" t="s">
        <v>1221</v>
      </c>
      <c r="B490" s="5" t="s">
        <v>876</v>
      </c>
      <c r="C490" s="5"/>
      <c r="D490" s="5" t="s">
        <v>1322</v>
      </c>
      <c r="E490" s="5" t="s">
        <v>890</v>
      </c>
      <c r="F490" s="5" t="s">
        <v>32</v>
      </c>
      <c r="G490" s="5" t="s">
        <v>2722</v>
      </c>
    </row>
    <row r="491" spans="1:7">
      <c r="A491" s="5" t="s">
        <v>1222</v>
      </c>
      <c r="B491" s="5" t="s">
        <v>876</v>
      </c>
      <c r="C491" s="5"/>
      <c r="D491" s="5" t="s">
        <v>1174</v>
      </c>
      <c r="E491" s="5" t="s">
        <v>880</v>
      </c>
      <c r="F491" s="5" t="s">
        <v>32</v>
      </c>
      <c r="G491" s="5" t="s">
        <v>2720</v>
      </c>
    </row>
    <row r="492" spans="1:7">
      <c r="A492" s="5" t="s">
        <v>1224</v>
      </c>
      <c r="B492" s="5" t="s">
        <v>876</v>
      </c>
      <c r="C492" s="5"/>
      <c r="D492" s="5" t="s">
        <v>1139</v>
      </c>
      <c r="E492" s="5" t="s">
        <v>66</v>
      </c>
      <c r="F492" s="5" t="s">
        <v>32</v>
      </c>
      <c r="G492" s="5" t="s">
        <v>2719</v>
      </c>
    </row>
    <row r="493" spans="1:7">
      <c r="A493" s="5" t="s">
        <v>1225</v>
      </c>
      <c r="B493" s="5" t="s">
        <v>876</v>
      </c>
      <c r="C493" s="5"/>
      <c r="D493" s="5" t="s">
        <v>1204</v>
      </c>
      <c r="E493" s="5" t="s">
        <v>880</v>
      </c>
      <c r="F493" s="5" t="s">
        <v>32</v>
      </c>
      <c r="G493" s="5" t="s">
        <v>2720</v>
      </c>
    </row>
    <row r="494" spans="1:7">
      <c r="A494" s="5" t="s">
        <v>1226</v>
      </c>
      <c r="B494" s="5" t="s">
        <v>876</v>
      </c>
      <c r="C494" s="5"/>
      <c r="D494" s="5" t="s">
        <v>1544</v>
      </c>
      <c r="E494" s="5" t="s">
        <v>31</v>
      </c>
      <c r="F494" s="5" t="s">
        <v>32</v>
      </c>
      <c r="G494" s="5" t="s">
        <v>2721</v>
      </c>
    </row>
    <row r="495" spans="1:7">
      <c r="A495" s="5" t="s">
        <v>1228</v>
      </c>
      <c r="B495" s="5" t="s">
        <v>876</v>
      </c>
      <c r="C495" s="5"/>
      <c r="D495" s="5" t="s">
        <v>894</v>
      </c>
      <c r="E495" s="5" t="s">
        <v>66</v>
      </c>
      <c r="F495" s="5" t="s">
        <v>32</v>
      </c>
      <c r="G495" s="5" t="s">
        <v>2719</v>
      </c>
    </row>
    <row r="496" spans="1:7">
      <c r="A496" s="5" t="s">
        <v>1230</v>
      </c>
      <c r="B496" s="5" t="s">
        <v>876</v>
      </c>
      <c r="C496" s="5"/>
      <c r="D496" s="5" t="s">
        <v>1568</v>
      </c>
      <c r="E496" s="5" t="s">
        <v>36</v>
      </c>
      <c r="F496" s="5" t="s">
        <v>32</v>
      </c>
      <c r="G496" s="5" t="s">
        <v>2731</v>
      </c>
    </row>
    <row r="497" spans="1:7">
      <c r="A497" s="5" t="s">
        <v>1232</v>
      </c>
      <c r="B497" s="5" t="s">
        <v>876</v>
      </c>
      <c r="C497" s="5"/>
      <c r="D497" s="5" t="s">
        <v>886</v>
      </c>
      <c r="E497" s="5" t="s">
        <v>880</v>
      </c>
      <c r="F497" s="5" t="s">
        <v>32</v>
      </c>
      <c r="G497" s="5" t="s">
        <v>2720</v>
      </c>
    </row>
    <row r="498" spans="1:7">
      <c r="A498" s="5" t="s">
        <v>1233</v>
      </c>
      <c r="B498" s="5" t="s">
        <v>876</v>
      </c>
      <c r="C498" s="5"/>
      <c r="D498" s="5" t="s">
        <v>1483</v>
      </c>
      <c r="E498" s="5" t="s">
        <v>880</v>
      </c>
      <c r="F498" s="5" t="s">
        <v>32</v>
      </c>
      <c r="G498" s="5" t="s">
        <v>2720</v>
      </c>
    </row>
    <row r="499" spans="1:7">
      <c r="A499" s="5" t="s">
        <v>1235</v>
      </c>
      <c r="B499" s="5" t="s">
        <v>876</v>
      </c>
      <c r="C499" s="5"/>
      <c r="D499" s="5" t="s">
        <v>1569</v>
      </c>
      <c r="E499" s="5" t="s">
        <v>930</v>
      </c>
      <c r="F499" s="5" t="s">
        <v>32</v>
      </c>
      <c r="G499" s="5" t="s">
        <v>2723</v>
      </c>
    </row>
    <row r="500" spans="1:7">
      <c r="A500" s="5" t="s">
        <v>1237</v>
      </c>
      <c r="B500" s="5" t="s">
        <v>876</v>
      </c>
      <c r="C500" s="5"/>
      <c r="D500" s="5" t="s">
        <v>1565</v>
      </c>
      <c r="E500" s="5" t="s">
        <v>880</v>
      </c>
      <c r="F500" s="5" t="s">
        <v>32</v>
      </c>
      <c r="G500" s="5" t="s">
        <v>2720</v>
      </c>
    </row>
    <row r="501" spans="1:7">
      <c r="A501" s="5" t="s">
        <v>1239</v>
      </c>
      <c r="B501" s="5" t="s">
        <v>876</v>
      </c>
      <c r="C501" s="5"/>
      <c r="D501" s="5" t="s">
        <v>1191</v>
      </c>
      <c r="E501" s="5" t="s">
        <v>66</v>
      </c>
      <c r="F501" s="5" t="s">
        <v>32</v>
      </c>
      <c r="G501" s="5" t="s">
        <v>2719</v>
      </c>
    </row>
    <row r="502" spans="1:7">
      <c r="A502" s="5" t="s">
        <v>1241</v>
      </c>
      <c r="B502" s="5" t="s">
        <v>876</v>
      </c>
      <c r="C502" s="5"/>
      <c r="D502" s="5" t="s">
        <v>1460</v>
      </c>
      <c r="E502" s="5" t="s">
        <v>890</v>
      </c>
      <c r="F502" s="5" t="s">
        <v>32</v>
      </c>
      <c r="G502" s="5" t="s">
        <v>2722</v>
      </c>
    </row>
    <row r="503" spans="1:7">
      <c r="A503" s="5" t="s">
        <v>1243</v>
      </c>
      <c r="B503" s="5" t="s">
        <v>876</v>
      </c>
      <c r="C503" s="5"/>
      <c r="D503" s="5" t="s">
        <v>1525</v>
      </c>
      <c r="E503" s="5" t="s">
        <v>890</v>
      </c>
      <c r="F503" s="5" t="s">
        <v>32</v>
      </c>
      <c r="G503" s="5" t="s">
        <v>2722</v>
      </c>
    </row>
    <row r="504" spans="1:7">
      <c r="A504" s="5" t="s">
        <v>1245</v>
      </c>
      <c r="B504" s="5" t="s">
        <v>876</v>
      </c>
      <c r="C504" s="5"/>
      <c r="D504" s="5" t="s">
        <v>1406</v>
      </c>
      <c r="E504" s="5" t="s">
        <v>880</v>
      </c>
      <c r="F504" s="5" t="s">
        <v>32</v>
      </c>
      <c r="G504" s="5" t="s">
        <v>2720</v>
      </c>
    </row>
    <row r="505" spans="1:7">
      <c r="A505" s="5" t="s">
        <v>1246</v>
      </c>
      <c r="B505" s="5" t="s">
        <v>876</v>
      </c>
      <c r="C505" s="5"/>
      <c r="D505" s="5" t="s">
        <v>1536</v>
      </c>
      <c r="E505" s="5" t="s">
        <v>66</v>
      </c>
      <c r="F505" s="5" t="s">
        <v>32</v>
      </c>
      <c r="G505" s="5" t="s">
        <v>2719</v>
      </c>
    </row>
    <row r="506" spans="1:7">
      <c r="A506" s="5" t="s">
        <v>1247</v>
      </c>
      <c r="B506" s="5" t="s">
        <v>876</v>
      </c>
      <c r="C506" s="5"/>
      <c r="D506" s="5" t="s">
        <v>1570</v>
      </c>
      <c r="E506" s="5" t="s">
        <v>940</v>
      </c>
      <c r="F506" s="5" t="s">
        <v>32</v>
      </c>
      <c r="G506" s="5" t="s">
        <v>2724</v>
      </c>
    </row>
    <row r="507" spans="1:7">
      <c r="A507" s="5" t="s">
        <v>1249</v>
      </c>
      <c r="B507" s="5" t="s">
        <v>876</v>
      </c>
      <c r="C507" s="5"/>
      <c r="D507" s="5" t="s">
        <v>912</v>
      </c>
      <c r="E507" s="5" t="s">
        <v>880</v>
      </c>
      <c r="F507" s="5" t="s">
        <v>32</v>
      </c>
      <c r="G507" s="5" t="s">
        <v>2720</v>
      </c>
    </row>
    <row r="508" spans="1:7">
      <c r="A508" s="5" t="s">
        <v>1250</v>
      </c>
      <c r="B508" s="5" t="s">
        <v>876</v>
      </c>
      <c r="C508" s="5"/>
      <c r="D508" s="5" t="s">
        <v>1109</v>
      </c>
      <c r="E508" s="5" t="s">
        <v>880</v>
      </c>
      <c r="F508" s="5" t="s">
        <v>32</v>
      </c>
      <c r="G508" s="5" t="s">
        <v>2720</v>
      </c>
    </row>
    <row r="509" spans="1:7">
      <c r="A509" s="5" t="s">
        <v>1251</v>
      </c>
      <c r="B509" s="5" t="s">
        <v>876</v>
      </c>
      <c r="C509" s="5"/>
      <c r="D509" s="5" t="s">
        <v>956</v>
      </c>
      <c r="E509" s="5" t="s">
        <v>66</v>
      </c>
      <c r="F509" s="5" t="s">
        <v>32</v>
      </c>
      <c r="G509" s="5" t="s">
        <v>2719</v>
      </c>
    </row>
    <row r="510" spans="1:7">
      <c r="A510" s="5" t="s">
        <v>1253</v>
      </c>
      <c r="B510" s="5" t="s">
        <v>876</v>
      </c>
      <c r="C510" s="5"/>
      <c r="D510" s="5" t="s">
        <v>1555</v>
      </c>
      <c r="E510" s="5" t="s">
        <v>880</v>
      </c>
      <c r="F510" s="5" t="s">
        <v>32</v>
      </c>
      <c r="G510" s="5" t="s">
        <v>2720</v>
      </c>
    </row>
    <row r="511" spans="1:7">
      <c r="A511" s="5" t="s">
        <v>1255</v>
      </c>
      <c r="B511" s="5" t="s">
        <v>876</v>
      </c>
      <c r="C511" s="5"/>
      <c r="D511" s="5" t="s">
        <v>1571</v>
      </c>
      <c r="E511" s="5" t="s">
        <v>940</v>
      </c>
      <c r="F511" s="5" t="s">
        <v>32</v>
      </c>
      <c r="G511" s="5" t="s">
        <v>2724</v>
      </c>
    </row>
    <row r="512" spans="1:7">
      <c r="A512" s="5" t="s">
        <v>1257</v>
      </c>
      <c r="B512" s="5" t="s">
        <v>876</v>
      </c>
      <c r="C512" s="5"/>
      <c r="D512" s="5" t="s">
        <v>1572</v>
      </c>
      <c r="E512" s="5" t="s">
        <v>36</v>
      </c>
      <c r="F512" s="5" t="s">
        <v>32</v>
      </c>
      <c r="G512" s="5" t="s">
        <v>2731</v>
      </c>
    </row>
    <row r="513" spans="1:7">
      <c r="A513" s="5" t="s">
        <v>1259</v>
      </c>
      <c r="B513" s="5" t="s">
        <v>876</v>
      </c>
      <c r="C513" s="5"/>
      <c r="D513" s="5" t="s">
        <v>1545</v>
      </c>
      <c r="E513" s="5" t="s">
        <v>66</v>
      </c>
      <c r="F513" s="5" t="s">
        <v>32</v>
      </c>
      <c r="G513" s="5" t="s">
        <v>2719</v>
      </c>
    </row>
    <row r="514" spans="1:7">
      <c r="A514" s="5" t="s">
        <v>1261</v>
      </c>
      <c r="B514" s="5" t="s">
        <v>876</v>
      </c>
      <c r="C514" s="5"/>
      <c r="D514" s="5" t="s">
        <v>1573</v>
      </c>
      <c r="E514" s="5" t="s">
        <v>940</v>
      </c>
      <c r="F514" s="5" t="s">
        <v>32</v>
      </c>
      <c r="G514" s="5" t="s">
        <v>2724</v>
      </c>
    </row>
    <row r="515" spans="1:7">
      <c r="A515" s="5" t="s">
        <v>1262</v>
      </c>
      <c r="B515" s="5" t="s">
        <v>876</v>
      </c>
      <c r="C515" s="5"/>
      <c r="D515" s="5" t="s">
        <v>1574</v>
      </c>
      <c r="E515" s="5" t="s">
        <v>42</v>
      </c>
      <c r="F515" s="5" t="s">
        <v>32</v>
      </c>
      <c r="G515" s="5" t="s">
        <v>2716</v>
      </c>
    </row>
    <row r="516" spans="1:7">
      <c r="A516" s="5" t="s">
        <v>1263</v>
      </c>
      <c r="B516" s="5" t="s">
        <v>876</v>
      </c>
      <c r="C516" s="5"/>
      <c r="D516" s="5" t="s">
        <v>1575</v>
      </c>
      <c r="E516" s="5" t="s">
        <v>940</v>
      </c>
      <c r="F516" s="5" t="s">
        <v>32</v>
      </c>
      <c r="G516" s="5" t="s">
        <v>2724</v>
      </c>
    </row>
    <row r="517" spans="1:7">
      <c r="A517" s="5" t="s">
        <v>1265</v>
      </c>
      <c r="B517" s="5" t="s">
        <v>876</v>
      </c>
      <c r="C517" s="5"/>
      <c r="D517" s="5" t="s">
        <v>1195</v>
      </c>
      <c r="E517" s="5" t="s">
        <v>66</v>
      </c>
      <c r="F517" s="5" t="s">
        <v>32</v>
      </c>
      <c r="G517" s="5" t="s">
        <v>2719</v>
      </c>
    </row>
    <row r="518" spans="1:7">
      <c r="A518" s="5" t="s">
        <v>1266</v>
      </c>
      <c r="B518" s="5" t="s">
        <v>876</v>
      </c>
      <c r="C518" s="5"/>
      <c r="D518" s="5" t="s">
        <v>1116</v>
      </c>
      <c r="E518" s="5" t="s">
        <v>880</v>
      </c>
      <c r="F518" s="5" t="s">
        <v>32</v>
      </c>
      <c r="G518" s="5" t="s">
        <v>2720</v>
      </c>
    </row>
    <row r="519" spans="1:7">
      <c r="A519" s="5" t="s">
        <v>1268</v>
      </c>
      <c r="B519" s="5" t="s">
        <v>876</v>
      </c>
      <c r="C519" s="5"/>
      <c r="D519" s="5" t="s">
        <v>1079</v>
      </c>
      <c r="E519" s="5" t="s">
        <v>880</v>
      </c>
      <c r="F519" s="5" t="s">
        <v>32</v>
      </c>
      <c r="G519" s="5" t="s">
        <v>2720</v>
      </c>
    </row>
    <row r="520" spans="1:7">
      <c r="A520" s="5" t="s">
        <v>1270</v>
      </c>
      <c r="B520" s="5" t="s">
        <v>876</v>
      </c>
      <c r="C520" s="5"/>
      <c r="D520" s="5" t="s">
        <v>1157</v>
      </c>
      <c r="E520" s="5" t="s">
        <v>880</v>
      </c>
      <c r="F520" s="5" t="s">
        <v>32</v>
      </c>
      <c r="G520" s="5" t="s">
        <v>2720</v>
      </c>
    </row>
    <row r="521" spans="1:7">
      <c r="A521" s="5" t="s">
        <v>1271</v>
      </c>
      <c r="B521" s="5" t="s">
        <v>876</v>
      </c>
      <c r="C521" s="5"/>
      <c r="D521" s="5" t="s">
        <v>1576</v>
      </c>
      <c r="E521" s="5" t="s">
        <v>1015</v>
      </c>
      <c r="F521" s="5" t="s">
        <v>32</v>
      </c>
      <c r="G521" s="5" t="s">
        <v>2726</v>
      </c>
    </row>
    <row r="522" spans="1:7">
      <c r="A522" s="5" t="s">
        <v>1273</v>
      </c>
      <c r="B522" s="5" t="s">
        <v>876</v>
      </c>
      <c r="C522" s="5"/>
      <c r="D522" s="5" t="s">
        <v>1076</v>
      </c>
      <c r="E522" s="5" t="s">
        <v>890</v>
      </c>
      <c r="F522" s="5" t="s">
        <v>32</v>
      </c>
      <c r="G522" s="5" t="s">
        <v>2722</v>
      </c>
    </row>
    <row r="523" spans="1:7">
      <c r="A523" s="5" t="s">
        <v>1274</v>
      </c>
      <c r="B523" s="5" t="s">
        <v>876</v>
      </c>
      <c r="C523" s="5"/>
      <c r="D523" s="5" t="s">
        <v>1544</v>
      </c>
      <c r="E523" s="5" t="s">
        <v>880</v>
      </c>
      <c r="F523" s="5" t="s">
        <v>32</v>
      </c>
      <c r="G523" s="5" t="s">
        <v>2720</v>
      </c>
    </row>
    <row r="524" spans="1:7">
      <c r="A524" s="5" t="s">
        <v>1276</v>
      </c>
      <c r="B524" s="5" t="s">
        <v>876</v>
      </c>
      <c r="C524" s="5"/>
      <c r="D524" s="5" t="s">
        <v>1531</v>
      </c>
      <c r="E524" s="5" t="s">
        <v>880</v>
      </c>
      <c r="F524" s="5" t="s">
        <v>32</v>
      </c>
      <c r="G524" s="5" t="s">
        <v>2720</v>
      </c>
    </row>
    <row r="525" spans="1:7">
      <c r="A525" s="5" t="s">
        <v>1278</v>
      </c>
      <c r="B525" s="5" t="s">
        <v>876</v>
      </c>
      <c r="C525" s="5"/>
      <c r="D525" s="5" t="s">
        <v>1578</v>
      </c>
      <c r="E525" s="5" t="s">
        <v>930</v>
      </c>
      <c r="F525" s="5" t="s">
        <v>32</v>
      </c>
      <c r="G525" s="5" t="s">
        <v>2723</v>
      </c>
    </row>
    <row r="526" spans="1:7">
      <c r="A526" s="5" t="s">
        <v>1280</v>
      </c>
      <c r="B526" s="5" t="s">
        <v>876</v>
      </c>
      <c r="C526" s="5"/>
      <c r="D526" s="5" t="s">
        <v>1093</v>
      </c>
      <c r="E526" s="5" t="s">
        <v>66</v>
      </c>
      <c r="F526" s="5" t="s">
        <v>32</v>
      </c>
      <c r="G526" s="5" t="s">
        <v>2719</v>
      </c>
    </row>
    <row r="527" spans="1:7">
      <c r="A527" s="5" t="s">
        <v>1281</v>
      </c>
      <c r="B527" s="5" t="s">
        <v>876</v>
      </c>
      <c r="C527" s="5"/>
      <c r="D527" s="5" t="s">
        <v>1095</v>
      </c>
      <c r="E527" s="5" t="s">
        <v>880</v>
      </c>
      <c r="F527" s="5" t="s">
        <v>32</v>
      </c>
      <c r="G527" s="5" t="s">
        <v>2720</v>
      </c>
    </row>
    <row r="528" spans="1:7">
      <c r="A528" s="5" t="s">
        <v>1283</v>
      </c>
      <c r="B528" s="5" t="s">
        <v>876</v>
      </c>
      <c r="C528" s="5"/>
      <c r="D528" s="5" t="s">
        <v>1541</v>
      </c>
      <c r="E528" s="5" t="s">
        <v>66</v>
      </c>
      <c r="F528" s="5" t="s">
        <v>32</v>
      </c>
      <c r="G528" s="5" t="s">
        <v>2719</v>
      </c>
    </row>
    <row r="529" spans="1:7">
      <c r="A529" s="5" t="s">
        <v>1284</v>
      </c>
      <c r="B529" s="5" t="s">
        <v>876</v>
      </c>
      <c r="C529" s="5"/>
      <c r="D529" s="5" t="s">
        <v>1422</v>
      </c>
      <c r="E529" s="5" t="s">
        <v>880</v>
      </c>
      <c r="F529" s="5" t="s">
        <v>32</v>
      </c>
      <c r="G529" s="5" t="s">
        <v>2720</v>
      </c>
    </row>
    <row r="530" spans="1:7">
      <c r="A530" s="5" t="s">
        <v>1286</v>
      </c>
      <c r="B530" s="5" t="s">
        <v>876</v>
      </c>
      <c r="C530" s="5"/>
      <c r="D530" s="5" t="s">
        <v>1527</v>
      </c>
      <c r="E530" s="5" t="s">
        <v>66</v>
      </c>
      <c r="F530" s="5" t="s">
        <v>32</v>
      </c>
      <c r="G530" s="5" t="s">
        <v>2719</v>
      </c>
    </row>
    <row r="531" spans="1:7">
      <c r="A531" s="5" t="s">
        <v>1288</v>
      </c>
      <c r="B531" s="5" t="s">
        <v>876</v>
      </c>
      <c r="C531" s="5"/>
      <c r="D531" s="5" t="s">
        <v>1532</v>
      </c>
      <c r="E531" s="5" t="s">
        <v>66</v>
      </c>
      <c r="F531" s="5" t="s">
        <v>32</v>
      </c>
      <c r="G531" s="5" t="s">
        <v>2719</v>
      </c>
    </row>
    <row r="532" spans="1:7">
      <c r="A532" s="5" t="s">
        <v>1290</v>
      </c>
      <c r="B532" s="5" t="s">
        <v>876</v>
      </c>
      <c r="C532" s="5"/>
      <c r="D532" s="5" t="s">
        <v>1030</v>
      </c>
      <c r="E532" s="5" t="s">
        <v>66</v>
      </c>
      <c r="F532" s="5" t="s">
        <v>32</v>
      </c>
      <c r="G532" s="5" t="s">
        <v>2719</v>
      </c>
    </row>
    <row r="533" spans="1:7">
      <c r="A533" s="5" t="s">
        <v>1291</v>
      </c>
      <c r="B533" s="5" t="s">
        <v>876</v>
      </c>
      <c r="C533" s="5"/>
      <c r="D533" s="5" t="s">
        <v>1100</v>
      </c>
      <c r="E533" s="5" t="s">
        <v>880</v>
      </c>
      <c r="F533" s="5" t="s">
        <v>32</v>
      </c>
      <c r="G533" s="5" t="s">
        <v>2720</v>
      </c>
    </row>
    <row r="534" spans="1:7">
      <c r="A534" s="5" t="s">
        <v>1293</v>
      </c>
      <c r="B534" s="5" t="s">
        <v>876</v>
      </c>
      <c r="C534" s="5"/>
      <c r="D534" s="5" t="s">
        <v>1159</v>
      </c>
      <c r="E534" s="5" t="s">
        <v>880</v>
      </c>
      <c r="F534" s="5" t="s">
        <v>32</v>
      </c>
      <c r="G534" s="5" t="s">
        <v>2720</v>
      </c>
    </row>
    <row r="535" spans="1:7">
      <c r="A535" s="5" t="s">
        <v>1294</v>
      </c>
      <c r="B535" s="5" t="s">
        <v>876</v>
      </c>
      <c r="C535" s="5"/>
      <c r="D535" s="5" t="s">
        <v>1551</v>
      </c>
      <c r="E535" s="5" t="s">
        <v>66</v>
      </c>
      <c r="F535" s="5" t="s">
        <v>32</v>
      </c>
      <c r="G535" s="5" t="s">
        <v>2719</v>
      </c>
    </row>
    <row r="536" spans="1:7">
      <c r="A536" s="5" t="s">
        <v>1295</v>
      </c>
      <c r="B536" s="5" t="s">
        <v>876</v>
      </c>
      <c r="C536" s="5"/>
      <c r="D536" s="5" t="s">
        <v>1267</v>
      </c>
      <c r="E536" s="5" t="s">
        <v>66</v>
      </c>
      <c r="F536" s="5" t="s">
        <v>32</v>
      </c>
      <c r="G536" s="5" t="s">
        <v>2719</v>
      </c>
    </row>
    <row r="537" spans="1:7">
      <c r="A537" s="5" t="s">
        <v>1296</v>
      </c>
      <c r="B537" s="5" t="s">
        <v>876</v>
      </c>
      <c r="C537" s="5"/>
      <c r="D537" s="5" t="s">
        <v>1533</v>
      </c>
      <c r="E537" s="5" t="s">
        <v>66</v>
      </c>
      <c r="F537" s="5" t="s">
        <v>32</v>
      </c>
      <c r="G537" s="5" t="s">
        <v>2719</v>
      </c>
    </row>
    <row r="538" spans="1:7">
      <c r="A538" s="5" t="s">
        <v>1298</v>
      </c>
      <c r="B538" s="5" t="s">
        <v>876</v>
      </c>
      <c r="C538" s="5"/>
      <c r="D538" s="5" t="s">
        <v>1133</v>
      </c>
      <c r="E538" s="5" t="s">
        <v>31</v>
      </c>
      <c r="F538" s="5" t="s">
        <v>32</v>
      </c>
      <c r="G538" s="5" t="s">
        <v>2721</v>
      </c>
    </row>
    <row r="539" spans="1:7">
      <c r="A539" s="5" t="s">
        <v>1300</v>
      </c>
      <c r="B539" s="5" t="s">
        <v>876</v>
      </c>
      <c r="C539" s="5"/>
      <c r="D539" s="5" t="s">
        <v>1111</v>
      </c>
      <c r="E539" s="5" t="s">
        <v>31</v>
      </c>
      <c r="F539" s="5" t="s">
        <v>32</v>
      </c>
      <c r="G539" s="5" t="s">
        <v>2721</v>
      </c>
    </row>
    <row r="540" spans="1:7">
      <c r="A540" s="5" t="s">
        <v>1301</v>
      </c>
      <c r="B540" s="5" t="s">
        <v>876</v>
      </c>
      <c r="C540" s="5"/>
      <c r="D540" s="5" t="s">
        <v>1534</v>
      </c>
      <c r="E540" s="5" t="s">
        <v>880</v>
      </c>
      <c r="F540" s="5" t="s">
        <v>32</v>
      </c>
      <c r="G540" s="5" t="s">
        <v>2720</v>
      </c>
    </row>
    <row r="541" spans="1:7">
      <c r="A541" s="5" t="s">
        <v>1302</v>
      </c>
      <c r="B541" s="5" t="s">
        <v>876</v>
      </c>
      <c r="C541" s="5"/>
      <c r="D541" s="5" t="s">
        <v>1507</v>
      </c>
      <c r="E541" s="5" t="s">
        <v>890</v>
      </c>
      <c r="F541" s="5" t="s">
        <v>32</v>
      </c>
      <c r="G541" s="5" t="s">
        <v>2722</v>
      </c>
    </row>
    <row r="542" spans="1:7">
      <c r="A542" s="5" t="s">
        <v>1304</v>
      </c>
      <c r="B542" s="5" t="s">
        <v>876</v>
      </c>
      <c r="C542" s="5"/>
      <c r="D542" s="5" t="s">
        <v>1189</v>
      </c>
      <c r="E542" s="5" t="s">
        <v>890</v>
      </c>
      <c r="F542" s="5" t="s">
        <v>32</v>
      </c>
      <c r="G542" s="5" t="s">
        <v>2722</v>
      </c>
    </row>
    <row r="543" spans="1:7">
      <c r="A543" s="5" t="s">
        <v>1305</v>
      </c>
      <c r="B543" s="5" t="s">
        <v>876</v>
      </c>
      <c r="C543" s="5"/>
      <c r="D543" s="5" t="s">
        <v>1184</v>
      </c>
      <c r="E543" s="5" t="s">
        <v>66</v>
      </c>
      <c r="F543" s="5" t="s">
        <v>32</v>
      </c>
      <c r="G543" s="5" t="s">
        <v>2719</v>
      </c>
    </row>
    <row r="544" spans="1:7">
      <c r="A544" s="5" t="s">
        <v>1307</v>
      </c>
      <c r="B544" s="5" t="s">
        <v>876</v>
      </c>
      <c r="C544" s="5"/>
      <c r="D544" s="5" t="s">
        <v>1272</v>
      </c>
      <c r="E544" s="5" t="s">
        <v>890</v>
      </c>
      <c r="F544" s="5" t="s">
        <v>32</v>
      </c>
      <c r="G544" s="5" t="s">
        <v>2722</v>
      </c>
    </row>
    <row r="545" spans="1:7">
      <c r="A545" s="5" t="s">
        <v>1309</v>
      </c>
      <c r="B545" s="5" t="s">
        <v>876</v>
      </c>
      <c r="C545" s="5"/>
      <c r="D545" s="5" t="s">
        <v>1518</v>
      </c>
      <c r="E545" s="5" t="s">
        <v>66</v>
      </c>
      <c r="F545" s="5" t="s">
        <v>32</v>
      </c>
      <c r="G545" s="5" t="s">
        <v>2719</v>
      </c>
    </row>
    <row r="546" spans="1:7">
      <c r="A546" s="5" t="s">
        <v>1311</v>
      </c>
      <c r="B546" s="5" t="s">
        <v>876</v>
      </c>
      <c r="C546" s="5"/>
      <c r="D546" s="5" t="s">
        <v>1169</v>
      </c>
      <c r="E546" s="5" t="s">
        <v>66</v>
      </c>
      <c r="F546" s="5" t="s">
        <v>32</v>
      </c>
      <c r="G546" s="5" t="s">
        <v>2719</v>
      </c>
    </row>
    <row r="547" spans="1:7">
      <c r="A547" s="5" t="s">
        <v>1313</v>
      </c>
      <c r="B547" s="5" t="s">
        <v>876</v>
      </c>
      <c r="C547" s="5"/>
      <c r="D547" s="5" t="s">
        <v>1111</v>
      </c>
      <c r="E547" s="5" t="s">
        <v>880</v>
      </c>
      <c r="F547" s="5" t="s">
        <v>32</v>
      </c>
      <c r="G547" s="5" t="s">
        <v>2720</v>
      </c>
    </row>
    <row r="548" spans="1:7">
      <c r="A548" s="5" t="s">
        <v>1315</v>
      </c>
      <c r="B548" s="5" t="s">
        <v>876</v>
      </c>
      <c r="C548" s="5"/>
      <c r="D548" s="5" t="s">
        <v>1131</v>
      </c>
      <c r="E548" s="5" t="s">
        <v>66</v>
      </c>
      <c r="F548" s="5" t="s">
        <v>32</v>
      </c>
      <c r="G548" s="5" t="s">
        <v>2719</v>
      </c>
    </row>
    <row r="549" spans="1:7">
      <c r="A549" s="5" t="s">
        <v>1316</v>
      </c>
      <c r="B549" s="5" t="s">
        <v>876</v>
      </c>
      <c r="C549" s="5"/>
      <c r="D549" s="5" t="s">
        <v>1236</v>
      </c>
      <c r="E549" s="5" t="s">
        <v>890</v>
      </c>
      <c r="F549" s="5" t="s">
        <v>32</v>
      </c>
      <c r="G549" s="5" t="s">
        <v>2722</v>
      </c>
    </row>
    <row r="550" spans="1:7">
      <c r="A550" s="5" t="s">
        <v>1318</v>
      </c>
      <c r="B550" s="5" t="s">
        <v>876</v>
      </c>
      <c r="C550" s="5"/>
      <c r="D550" s="5" t="s">
        <v>1133</v>
      </c>
      <c r="E550" s="5" t="s">
        <v>880</v>
      </c>
      <c r="F550" s="5" t="s">
        <v>32</v>
      </c>
      <c r="G550" s="5" t="s">
        <v>2720</v>
      </c>
    </row>
    <row r="551" spans="1:7">
      <c r="A551" s="5" t="s">
        <v>1319</v>
      </c>
      <c r="B551" s="5" t="s">
        <v>876</v>
      </c>
      <c r="C551" s="5"/>
      <c r="D551" s="5" t="s">
        <v>1012</v>
      </c>
      <c r="E551" s="5" t="s">
        <v>890</v>
      </c>
      <c r="F551" s="5" t="s">
        <v>32</v>
      </c>
      <c r="G551" s="5" t="s">
        <v>2722</v>
      </c>
    </row>
    <row r="552" spans="1:7">
      <c r="A552" s="5" t="s">
        <v>1321</v>
      </c>
      <c r="B552" s="5" t="s">
        <v>876</v>
      </c>
      <c r="C552" s="5"/>
      <c r="D552" s="5" t="s">
        <v>63</v>
      </c>
      <c r="E552" s="5" t="s">
        <v>42</v>
      </c>
      <c r="F552" s="5" t="s">
        <v>32</v>
      </c>
      <c r="G552" s="5" t="s">
        <v>2716</v>
      </c>
    </row>
    <row r="553" spans="1:7">
      <c r="A553" s="5" t="s">
        <v>1323</v>
      </c>
      <c r="B553" s="5" t="s">
        <v>876</v>
      </c>
      <c r="C553" s="5"/>
      <c r="D553" s="5" t="s">
        <v>1209</v>
      </c>
      <c r="E553" s="5" t="s">
        <v>66</v>
      </c>
      <c r="F553" s="5" t="s">
        <v>32</v>
      </c>
      <c r="G553" s="5" t="s">
        <v>2719</v>
      </c>
    </row>
    <row r="554" spans="1:7">
      <c r="A554" s="5" t="s">
        <v>1324</v>
      </c>
      <c r="B554" s="5" t="s">
        <v>876</v>
      </c>
      <c r="C554" s="5"/>
      <c r="D554" s="5" t="s">
        <v>1579</v>
      </c>
      <c r="E554" s="5" t="s">
        <v>940</v>
      </c>
      <c r="F554" s="5" t="s">
        <v>32</v>
      </c>
      <c r="G554" s="5" t="s">
        <v>2724</v>
      </c>
    </row>
    <row r="555" spans="1:7">
      <c r="A555" s="5" t="s">
        <v>1325</v>
      </c>
      <c r="B555" s="5" t="s">
        <v>876</v>
      </c>
      <c r="C555" s="5"/>
      <c r="D555" s="5" t="s">
        <v>1580</v>
      </c>
      <c r="E555" s="5" t="s">
        <v>880</v>
      </c>
      <c r="F555" s="5" t="s">
        <v>32</v>
      </c>
      <c r="G555" s="5" t="s">
        <v>2720</v>
      </c>
    </row>
    <row r="556" spans="1:7">
      <c r="A556" s="5" t="s">
        <v>1327</v>
      </c>
      <c r="B556" s="5" t="s">
        <v>876</v>
      </c>
      <c r="C556" s="5"/>
      <c r="D556" s="5" t="s">
        <v>1539</v>
      </c>
      <c r="E556" s="5" t="s">
        <v>880</v>
      </c>
      <c r="F556" s="5" t="s">
        <v>32</v>
      </c>
      <c r="G556" s="5" t="s">
        <v>2720</v>
      </c>
    </row>
    <row r="557" spans="1:7">
      <c r="A557" s="5" t="s">
        <v>1329</v>
      </c>
      <c r="B557" s="5" t="s">
        <v>876</v>
      </c>
      <c r="C557" s="5"/>
      <c r="D557" s="5" t="s">
        <v>1494</v>
      </c>
      <c r="E557" s="5" t="s">
        <v>66</v>
      </c>
      <c r="F557" s="5" t="s">
        <v>32</v>
      </c>
      <c r="G557" s="5" t="s">
        <v>2719</v>
      </c>
    </row>
    <row r="558" spans="1:7">
      <c r="A558" s="5" t="s">
        <v>1331</v>
      </c>
      <c r="B558" s="5" t="s">
        <v>876</v>
      </c>
      <c r="C558" s="5"/>
      <c r="D558" s="5" t="s">
        <v>1581</v>
      </c>
      <c r="E558" s="5" t="s">
        <v>31</v>
      </c>
      <c r="F558" s="5" t="s">
        <v>32</v>
      </c>
      <c r="G558" s="5" t="s">
        <v>2721</v>
      </c>
    </row>
    <row r="559" spans="1:7">
      <c r="A559" s="23" t="s">
        <v>1333</v>
      </c>
      <c r="B559" s="23" t="s">
        <v>876</v>
      </c>
      <c r="C559" s="6"/>
      <c r="D559" s="6" t="s">
        <v>908</v>
      </c>
      <c r="E559" s="6" t="s">
        <v>42</v>
      </c>
      <c r="F559" s="6" t="s">
        <v>32</v>
      </c>
      <c r="G559" s="6" t="s">
        <v>2716</v>
      </c>
    </row>
    <row r="560" spans="1:7">
      <c r="A560" s="23" t="s">
        <v>1335</v>
      </c>
      <c r="B560" s="23" t="s">
        <v>876</v>
      </c>
      <c r="C560" s="6"/>
      <c r="D560" s="6" t="s">
        <v>932</v>
      </c>
      <c r="E560" s="6" t="s">
        <v>66</v>
      </c>
      <c r="F560" s="6" t="s">
        <v>32</v>
      </c>
      <c r="G560" s="6" t="s">
        <v>2719</v>
      </c>
    </row>
    <row r="561" spans="1:7">
      <c r="A561" s="23" t="s">
        <v>1337</v>
      </c>
      <c r="B561" s="23" t="s">
        <v>876</v>
      </c>
      <c r="C561" s="6"/>
      <c r="D561" s="6" t="s">
        <v>952</v>
      </c>
      <c r="E561" s="6" t="s">
        <v>66</v>
      </c>
      <c r="F561" s="6" t="s">
        <v>32</v>
      </c>
      <c r="G561" s="6" t="s">
        <v>2719</v>
      </c>
    </row>
    <row r="562" spans="1:7">
      <c r="A562" s="23" t="s">
        <v>1339</v>
      </c>
      <c r="B562" s="23" t="s">
        <v>876</v>
      </c>
      <c r="C562" s="6"/>
      <c r="D562" s="6" t="s">
        <v>968</v>
      </c>
      <c r="E562" s="6" t="s">
        <v>66</v>
      </c>
      <c r="F562" s="6" t="s">
        <v>32</v>
      </c>
      <c r="G562" s="6" t="s">
        <v>2719</v>
      </c>
    </row>
    <row r="563" spans="1:7">
      <c r="A563" s="23" t="s">
        <v>1340</v>
      </c>
      <c r="B563" s="23" t="s">
        <v>876</v>
      </c>
      <c r="C563" s="6"/>
      <c r="D563" s="6" t="s">
        <v>1032</v>
      </c>
      <c r="E563" s="6" t="s">
        <v>1033</v>
      </c>
      <c r="F563" s="6" t="s">
        <v>32</v>
      </c>
      <c r="G563" s="6" t="s">
        <v>2727</v>
      </c>
    </row>
    <row r="564" spans="1:7">
      <c r="A564" s="23" t="s">
        <v>1342</v>
      </c>
      <c r="B564" s="23" t="s">
        <v>876</v>
      </c>
      <c r="C564" s="6"/>
      <c r="D564" s="6" t="s">
        <v>1043</v>
      </c>
      <c r="E564" s="6" t="s">
        <v>1033</v>
      </c>
      <c r="F564" s="6" t="s">
        <v>32</v>
      </c>
      <c r="G564" s="6" t="s">
        <v>2727</v>
      </c>
    </row>
    <row r="565" spans="1:7">
      <c r="A565" s="23" t="s">
        <v>1344</v>
      </c>
      <c r="B565" s="23" t="s">
        <v>876</v>
      </c>
      <c r="C565" s="6"/>
      <c r="D565" s="6" t="s">
        <v>1068</v>
      </c>
      <c r="E565" s="6" t="s">
        <v>48</v>
      </c>
      <c r="F565" s="6" t="s">
        <v>32</v>
      </c>
      <c r="G565" s="6" t="s">
        <v>2728</v>
      </c>
    </row>
    <row r="566" spans="1:7">
      <c r="A566" s="23" t="s">
        <v>1346</v>
      </c>
      <c r="B566" s="23" t="s">
        <v>876</v>
      </c>
      <c r="C566" s="6"/>
      <c r="D566" s="6" t="s">
        <v>1126</v>
      </c>
      <c r="E566" s="6" t="s">
        <v>1127</v>
      </c>
      <c r="F566" s="6" t="s">
        <v>32</v>
      </c>
      <c r="G566" s="6" t="s">
        <v>2729</v>
      </c>
    </row>
    <row r="567" spans="1:7">
      <c r="A567" s="23" t="s">
        <v>1347</v>
      </c>
      <c r="B567" s="23" t="s">
        <v>876</v>
      </c>
      <c r="C567" s="6"/>
      <c r="D567" s="6" t="s">
        <v>1129</v>
      </c>
      <c r="E567" s="6" t="s">
        <v>242</v>
      </c>
      <c r="F567" s="6" t="s">
        <v>32</v>
      </c>
      <c r="G567" s="6" t="s">
        <v>2730</v>
      </c>
    </row>
    <row r="568" spans="1:7">
      <c r="A568" s="23" t="s">
        <v>1349</v>
      </c>
      <c r="B568" s="23" t="s">
        <v>876</v>
      </c>
      <c r="C568" s="6"/>
      <c r="D568" s="6" t="s">
        <v>1167</v>
      </c>
      <c r="E568" s="6" t="s">
        <v>930</v>
      </c>
      <c r="F568" s="6" t="s">
        <v>32</v>
      </c>
      <c r="G568" s="6" t="s">
        <v>2723</v>
      </c>
    </row>
    <row r="569" spans="1:7">
      <c r="A569" s="23" t="s">
        <v>1350</v>
      </c>
      <c r="B569" s="23" t="s">
        <v>876</v>
      </c>
      <c r="C569" s="6"/>
      <c r="D569" s="6" t="s">
        <v>1177</v>
      </c>
      <c r="E569" s="6" t="s">
        <v>48</v>
      </c>
      <c r="F569" s="6" t="s">
        <v>32</v>
      </c>
      <c r="G569" s="6" t="s">
        <v>2728</v>
      </c>
    </row>
    <row r="570" spans="1:7">
      <c r="A570" s="23" t="s">
        <v>1351</v>
      </c>
      <c r="B570" s="23" t="s">
        <v>876</v>
      </c>
      <c r="C570" s="6"/>
      <c r="D570" s="6" t="s">
        <v>500</v>
      </c>
      <c r="E570" s="6" t="s">
        <v>48</v>
      </c>
      <c r="F570" s="6" t="s">
        <v>32</v>
      </c>
      <c r="G570" s="6" t="s">
        <v>2728</v>
      </c>
    </row>
    <row r="571" spans="1:7">
      <c r="A571" s="23" t="s">
        <v>1352</v>
      </c>
      <c r="B571" s="23" t="s">
        <v>876</v>
      </c>
      <c r="C571" s="6"/>
      <c r="D571" s="6" t="s">
        <v>1227</v>
      </c>
      <c r="E571" s="6" t="s">
        <v>242</v>
      </c>
      <c r="F571" s="6" t="s">
        <v>32</v>
      </c>
      <c r="G571" s="6" t="s">
        <v>2730</v>
      </c>
    </row>
    <row r="572" spans="1:7">
      <c r="A572" s="23" t="s">
        <v>1354</v>
      </c>
      <c r="B572" s="23" t="s">
        <v>876</v>
      </c>
      <c r="C572" s="6"/>
      <c r="D572" s="6" t="s">
        <v>1277</v>
      </c>
      <c r="E572" s="6" t="s">
        <v>930</v>
      </c>
      <c r="F572" s="6" t="s">
        <v>32</v>
      </c>
      <c r="G572" s="6" t="s">
        <v>2723</v>
      </c>
    </row>
    <row r="573" spans="1:7">
      <c r="A573" s="23" t="s">
        <v>1356</v>
      </c>
      <c r="B573" s="23" t="s">
        <v>876</v>
      </c>
      <c r="C573" s="6"/>
      <c r="D573" s="6" t="s">
        <v>1447</v>
      </c>
      <c r="E573" s="6" t="s">
        <v>930</v>
      </c>
      <c r="F573" s="6" t="s">
        <v>32</v>
      </c>
      <c r="G573" s="6" t="s">
        <v>2723</v>
      </c>
    </row>
    <row r="574" spans="1:7">
      <c r="A574" s="23" t="s">
        <v>1358</v>
      </c>
      <c r="B574" s="23" t="s">
        <v>876</v>
      </c>
      <c r="C574" s="6"/>
      <c r="D574" s="6" t="s">
        <v>1524</v>
      </c>
      <c r="E574" s="6" t="s">
        <v>242</v>
      </c>
      <c r="F574" s="6" t="s">
        <v>32</v>
      </c>
      <c r="G574" s="6" t="s">
        <v>2730</v>
      </c>
    </row>
    <row r="575" spans="1:7">
      <c r="A575" s="23" t="s">
        <v>1359</v>
      </c>
      <c r="B575" s="23" t="s">
        <v>876</v>
      </c>
      <c r="C575" s="6"/>
      <c r="D575" s="6" t="s">
        <v>1492</v>
      </c>
      <c r="E575" s="6" t="s">
        <v>48</v>
      </c>
      <c r="F575" s="6" t="s">
        <v>32</v>
      </c>
      <c r="G575" s="6" t="s">
        <v>2728</v>
      </c>
    </row>
    <row r="576" spans="1:7">
      <c r="A576" s="23" t="s">
        <v>1360</v>
      </c>
      <c r="B576" s="23" t="s">
        <v>876</v>
      </c>
      <c r="C576" s="6"/>
      <c r="D576" s="6" t="s">
        <v>47</v>
      </c>
      <c r="E576" s="6" t="s">
        <v>48</v>
      </c>
      <c r="F576" s="6" t="s">
        <v>32</v>
      </c>
      <c r="G576" s="6" t="s">
        <v>2728</v>
      </c>
    </row>
    <row r="577" spans="1:7">
      <c r="A577" s="23" t="s">
        <v>1361</v>
      </c>
      <c r="B577" s="23" t="s">
        <v>876</v>
      </c>
      <c r="C577" s="6"/>
      <c r="D577" s="6" t="s">
        <v>1554</v>
      </c>
      <c r="E577" s="6" t="s">
        <v>242</v>
      </c>
      <c r="F577" s="6" t="s">
        <v>32</v>
      </c>
      <c r="G577" s="6" t="s">
        <v>2730</v>
      </c>
    </row>
    <row r="578" spans="1:7">
      <c r="A578" s="23" t="s">
        <v>1363</v>
      </c>
      <c r="B578" s="23" t="s">
        <v>876</v>
      </c>
      <c r="C578" s="6"/>
      <c r="D578" s="6" t="s">
        <v>1562</v>
      </c>
      <c r="E578" s="6" t="s">
        <v>930</v>
      </c>
      <c r="F578" s="6" t="s">
        <v>32</v>
      </c>
      <c r="G578" s="6" t="s">
        <v>2723</v>
      </c>
    </row>
    <row r="579" spans="1:7">
      <c r="A579" s="23" t="s">
        <v>1365</v>
      </c>
      <c r="B579" s="23" t="s">
        <v>876</v>
      </c>
      <c r="C579" s="6"/>
      <c r="D579" s="6" t="s">
        <v>1567</v>
      </c>
      <c r="E579" s="6" t="s">
        <v>930</v>
      </c>
      <c r="F579" s="6" t="s">
        <v>32</v>
      </c>
      <c r="G579" s="6" t="s">
        <v>2723</v>
      </c>
    </row>
    <row r="580" spans="1:7">
      <c r="A580" s="23" t="s">
        <v>1367</v>
      </c>
      <c r="B580" s="23" t="s">
        <v>876</v>
      </c>
      <c r="C580" s="6"/>
      <c r="D580" s="6" t="s">
        <v>1068</v>
      </c>
      <c r="E580" s="6" t="s">
        <v>1127</v>
      </c>
      <c r="F580" s="6" t="s">
        <v>32</v>
      </c>
      <c r="G580" s="6" t="s">
        <v>2729</v>
      </c>
    </row>
    <row r="581" spans="1:7">
      <c r="A581" s="23" t="s">
        <v>1369</v>
      </c>
      <c r="B581" s="23" t="s">
        <v>876</v>
      </c>
      <c r="C581" s="6"/>
      <c r="D581" s="6" t="s">
        <v>1552</v>
      </c>
      <c r="E581" s="6" t="s">
        <v>48</v>
      </c>
      <c r="F581" s="6" t="s">
        <v>32</v>
      </c>
      <c r="G581" s="6" t="s">
        <v>2728</v>
      </c>
    </row>
    <row r="582" spans="1:7">
      <c r="A582" s="23" t="s">
        <v>1371</v>
      </c>
      <c r="B582" s="23" t="s">
        <v>876</v>
      </c>
      <c r="C582" s="6"/>
      <c r="D582" s="6" t="s">
        <v>1577</v>
      </c>
      <c r="E582" s="6" t="s">
        <v>930</v>
      </c>
      <c r="F582" s="6" t="s">
        <v>32</v>
      </c>
      <c r="G582" s="6" t="s">
        <v>2723</v>
      </c>
    </row>
    <row r="583" spans="1:7">
      <c r="A583" s="11" t="s">
        <v>1372</v>
      </c>
      <c r="B583" s="7" t="s">
        <v>876</v>
      </c>
      <c r="C583" s="7"/>
      <c r="D583" s="7"/>
      <c r="E583" s="7" t="s">
        <v>218</v>
      </c>
      <c r="F583" s="7" t="s">
        <v>219</v>
      </c>
      <c r="G583" s="7" t="s">
        <v>1623</v>
      </c>
    </row>
    <row r="584" spans="1:7">
      <c r="A584" s="11" t="s">
        <v>1374</v>
      </c>
      <c r="B584" s="7" t="s">
        <v>876</v>
      </c>
      <c r="C584" s="7"/>
      <c r="D584" s="7"/>
      <c r="E584" s="7" t="s">
        <v>1624</v>
      </c>
      <c r="F584" s="7" t="s">
        <v>1625</v>
      </c>
      <c r="G584" s="7" t="s">
        <v>1626</v>
      </c>
    </row>
    <row r="585" spans="1:7">
      <c r="A585" s="11" t="s">
        <v>1375</v>
      </c>
      <c r="B585" s="7" t="s">
        <v>876</v>
      </c>
      <c r="C585" s="7"/>
      <c r="D585" s="7"/>
      <c r="E585" s="7" t="s">
        <v>1627</v>
      </c>
      <c r="F585" s="7" t="s">
        <v>32</v>
      </c>
      <c r="G585" s="7" t="s">
        <v>1628</v>
      </c>
    </row>
    <row r="586" spans="1:7">
      <c r="A586" s="11" t="s">
        <v>1377</v>
      </c>
      <c r="B586" s="7" t="s">
        <v>876</v>
      </c>
      <c r="C586" s="7"/>
      <c r="D586" s="7"/>
      <c r="E586" s="7" t="s">
        <v>1629</v>
      </c>
      <c r="F586" s="7" t="s">
        <v>32</v>
      </c>
      <c r="G586" s="7" t="s">
        <v>1630</v>
      </c>
    </row>
    <row r="587" spans="1:7">
      <c r="A587" s="11" t="s">
        <v>1379</v>
      </c>
      <c r="B587" s="7" t="s">
        <v>876</v>
      </c>
      <c r="C587" s="7"/>
      <c r="D587" s="7"/>
      <c r="E587" s="7" t="s">
        <v>242</v>
      </c>
      <c r="F587" s="7" t="s">
        <v>32</v>
      </c>
      <c r="G587" s="7" t="s">
        <v>1631</v>
      </c>
    </row>
    <row r="588" spans="1:7">
      <c r="A588" s="11" t="s">
        <v>1381</v>
      </c>
      <c r="B588" s="7" t="s">
        <v>876</v>
      </c>
      <c r="C588" s="7"/>
      <c r="D588" s="7"/>
      <c r="E588" s="7" t="s">
        <v>1632</v>
      </c>
      <c r="F588" s="7" t="s">
        <v>32</v>
      </c>
      <c r="G588" s="7" t="s">
        <v>1633</v>
      </c>
    </row>
    <row r="589" spans="1:7">
      <c r="A589" s="11" t="s">
        <v>1383</v>
      </c>
      <c r="B589" s="7" t="s">
        <v>876</v>
      </c>
      <c r="C589" s="7"/>
      <c r="D589" s="7"/>
      <c r="E589" s="7" t="s">
        <v>1634</v>
      </c>
      <c r="F589" s="7" t="s">
        <v>32</v>
      </c>
      <c r="G589" s="7" t="s">
        <v>1635</v>
      </c>
    </row>
    <row r="590" spans="1:7">
      <c r="A590" s="11" t="s">
        <v>1384</v>
      </c>
      <c r="B590" s="7" t="s">
        <v>876</v>
      </c>
      <c r="C590" s="7"/>
      <c r="D590" s="7"/>
      <c r="E590" s="7" t="s">
        <v>1636</v>
      </c>
      <c r="F590" s="7" t="s">
        <v>32</v>
      </c>
      <c r="G590" s="7" t="s">
        <v>1637</v>
      </c>
    </row>
    <row r="591" spans="1:7">
      <c r="A591" s="11" t="s">
        <v>1386</v>
      </c>
      <c r="B591" s="7" t="s">
        <v>876</v>
      </c>
      <c r="C591" s="7"/>
      <c r="D591" s="7"/>
      <c r="E591" s="7" t="s">
        <v>1638</v>
      </c>
      <c r="F591" s="7" t="s">
        <v>32</v>
      </c>
      <c r="G591" s="7" t="s">
        <v>1639</v>
      </c>
    </row>
    <row r="592" spans="1:7">
      <c r="A592" s="11" t="s">
        <v>1388</v>
      </c>
      <c r="B592" s="7" t="s">
        <v>876</v>
      </c>
      <c r="C592" s="7"/>
      <c r="D592" s="7"/>
      <c r="E592" s="7" t="s">
        <v>1640</v>
      </c>
      <c r="F592" s="7" t="s">
        <v>32</v>
      </c>
      <c r="G592" s="7" t="s">
        <v>1641</v>
      </c>
    </row>
    <row r="593" spans="1:7">
      <c r="A593" s="11" t="s">
        <v>1390</v>
      </c>
      <c r="B593" s="7" t="s">
        <v>876</v>
      </c>
      <c r="C593" s="7"/>
      <c r="D593" s="7"/>
      <c r="E593" s="7" t="s">
        <v>1642</v>
      </c>
      <c r="F593" s="7" t="s">
        <v>32</v>
      </c>
      <c r="G593" s="7" t="s">
        <v>1643</v>
      </c>
    </row>
    <row r="594" spans="1:7">
      <c r="A594" s="11" t="s">
        <v>1392</v>
      </c>
      <c r="B594" s="7" t="s">
        <v>876</v>
      </c>
      <c r="C594" s="7"/>
      <c r="D594" s="7"/>
      <c r="E594" s="7" t="s">
        <v>1644</v>
      </c>
      <c r="F594" s="7" t="s">
        <v>32</v>
      </c>
      <c r="G594" s="7" t="s">
        <v>1645</v>
      </c>
    </row>
    <row r="595" spans="1:7">
      <c r="A595" s="11" t="s">
        <v>1394</v>
      </c>
      <c r="B595" s="7" t="s">
        <v>876</v>
      </c>
      <c r="C595" s="7"/>
      <c r="D595" s="7"/>
      <c r="E595" s="7" t="s">
        <v>1646</v>
      </c>
      <c r="F595" s="7" t="s">
        <v>32</v>
      </c>
      <c r="G595" s="7" t="s">
        <v>1647</v>
      </c>
    </row>
    <row r="596" spans="1:7">
      <c r="A596" s="11" t="s">
        <v>1396</v>
      </c>
      <c r="B596" s="7" t="s">
        <v>876</v>
      </c>
      <c r="C596" s="7"/>
      <c r="D596" s="7"/>
      <c r="E596" s="7" t="s">
        <v>1648</v>
      </c>
      <c r="F596" s="7" t="s">
        <v>32</v>
      </c>
      <c r="G596" s="7" t="s">
        <v>1649</v>
      </c>
    </row>
    <row r="597" spans="1:7">
      <c r="A597" s="11" t="s">
        <v>1398</v>
      </c>
      <c r="B597" s="7" t="s">
        <v>876</v>
      </c>
      <c r="C597" s="7"/>
      <c r="D597" s="7"/>
      <c r="E597" s="7" t="s">
        <v>1650</v>
      </c>
      <c r="F597" s="7" t="s">
        <v>32</v>
      </c>
      <c r="G597" s="7" t="s">
        <v>1651</v>
      </c>
    </row>
    <row r="598" spans="1:7">
      <c r="A598" s="11" t="s">
        <v>1399</v>
      </c>
      <c r="B598" s="7" t="s">
        <v>876</v>
      </c>
      <c r="C598" s="7"/>
      <c r="D598" s="7"/>
      <c r="E598" s="7" t="s">
        <v>1652</v>
      </c>
      <c r="F598" s="7" t="s">
        <v>32</v>
      </c>
      <c r="G598" s="7" t="s">
        <v>1653</v>
      </c>
    </row>
    <row r="599" spans="1:7">
      <c r="A599" s="11" t="s">
        <v>1401</v>
      </c>
      <c r="B599" s="7" t="s">
        <v>876</v>
      </c>
      <c r="C599" s="7"/>
      <c r="D599" s="7"/>
      <c r="E599" s="7" t="s">
        <v>1654</v>
      </c>
      <c r="F599" s="7" t="s">
        <v>32</v>
      </c>
      <c r="G599" s="7" t="s">
        <v>1655</v>
      </c>
    </row>
    <row r="600" spans="1:7">
      <c r="A600" s="11" t="s">
        <v>1402</v>
      </c>
      <c r="B600" s="7" t="s">
        <v>876</v>
      </c>
      <c r="C600" s="7"/>
      <c r="D600" s="7"/>
      <c r="E600" s="7" t="s">
        <v>1656</v>
      </c>
      <c r="F600" s="7" t="s">
        <v>32</v>
      </c>
      <c r="G600" s="7" t="s">
        <v>1657</v>
      </c>
    </row>
    <row r="601" spans="1:7">
      <c r="A601" s="11" t="s">
        <v>1404</v>
      </c>
      <c r="B601" s="7" t="s">
        <v>876</v>
      </c>
      <c r="C601" s="7"/>
      <c r="D601" s="7"/>
      <c r="E601" s="7" t="s">
        <v>1658</v>
      </c>
      <c r="F601" s="7" t="s">
        <v>32</v>
      </c>
      <c r="G601" s="7" t="s">
        <v>1659</v>
      </c>
    </row>
    <row r="602" spans="1:7">
      <c r="A602" s="11" t="s">
        <v>1405</v>
      </c>
      <c r="B602" s="7" t="s">
        <v>876</v>
      </c>
      <c r="C602" s="7"/>
      <c r="D602" s="7"/>
      <c r="E602" s="7" t="s">
        <v>1660</v>
      </c>
      <c r="F602" s="7" t="s">
        <v>32</v>
      </c>
      <c r="G602" s="7" t="s">
        <v>1661</v>
      </c>
    </row>
    <row r="603" spans="1:7">
      <c r="A603" s="11" t="s">
        <v>1407</v>
      </c>
      <c r="B603" s="7" t="s">
        <v>876</v>
      </c>
      <c r="C603" s="7"/>
      <c r="D603" s="7"/>
      <c r="E603" s="7" t="s">
        <v>1662</v>
      </c>
      <c r="F603" s="7" t="s">
        <v>32</v>
      </c>
      <c r="G603" s="7" t="s">
        <v>1663</v>
      </c>
    </row>
    <row r="604" spans="1:7">
      <c r="A604" s="11" t="s">
        <v>1408</v>
      </c>
      <c r="B604" s="7" t="s">
        <v>876</v>
      </c>
      <c r="C604" s="7"/>
      <c r="D604" s="7"/>
      <c r="E604" s="7" t="s">
        <v>1664</v>
      </c>
      <c r="F604" s="7" t="s">
        <v>32</v>
      </c>
      <c r="G604" s="7" t="s">
        <v>1665</v>
      </c>
    </row>
    <row r="605" spans="1:7">
      <c r="A605" s="11" t="s">
        <v>1410</v>
      </c>
      <c r="B605" s="7" t="s">
        <v>876</v>
      </c>
      <c r="C605" s="7"/>
      <c r="D605" s="7"/>
      <c r="E605" s="7" t="s">
        <v>1666</v>
      </c>
      <c r="F605" s="7" t="s">
        <v>32</v>
      </c>
      <c r="G605" s="7" t="s">
        <v>1667</v>
      </c>
    </row>
    <row r="606" spans="1:7">
      <c r="A606" s="11" t="s">
        <v>1412</v>
      </c>
      <c r="B606" s="7" t="s">
        <v>876</v>
      </c>
      <c r="C606" s="7"/>
      <c r="D606" s="7"/>
      <c r="E606" s="7" t="s">
        <v>1668</v>
      </c>
      <c r="F606" s="7" t="s">
        <v>32</v>
      </c>
      <c r="G606" s="7" t="s">
        <v>1669</v>
      </c>
    </row>
    <row r="607" spans="1:7">
      <c r="A607" s="11" t="s">
        <v>1413</v>
      </c>
      <c r="B607" s="7" t="s">
        <v>876</v>
      </c>
      <c r="C607" s="7"/>
      <c r="D607" s="7"/>
      <c r="E607" s="7" t="s">
        <v>1670</v>
      </c>
      <c r="F607" s="7" t="s">
        <v>32</v>
      </c>
      <c r="G607" s="7" t="s">
        <v>1671</v>
      </c>
    </row>
    <row r="608" spans="1:7">
      <c r="A608" s="11" t="s">
        <v>1414</v>
      </c>
      <c r="B608" s="7" t="s">
        <v>876</v>
      </c>
      <c r="C608" s="7"/>
      <c r="D608" s="7"/>
      <c r="E608" s="7" t="s">
        <v>1672</v>
      </c>
      <c r="F608" s="7" t="s">
        <v>32</v>
      </c>
      <c r="G608" s="7" t="s">
        <v>1673</v>
      </c>
    </row>
    <row r="609" spans="1:7">
      <c r="A609" s="11" t="s">
        <v>1416</v>
      </c>
      <c r="B609" s="7" t="s">
        <v>876</v>
      </c>
      <c r="C609" s="7"/>
      <c r="D609" s="7"/>
      <c r="E609" s="7" t="s">
        <v>1674</v>
      </c>
      <c r="F609" s="7" t="s">
        <v>32</v>
      </c>
      <c r="G609" s="7" t="s">
        <v>1675</v>
      </c>
    </row>
    <row r="610" spans="1:7">
      <c r="A610" s="11" t="s">
        <v>1417</v>
      </c>
      <c r="B610" s="7" t="s">
        <v>876</v>
      </c>
      <c r="C610" s="7"/>
      <c r="D610" s="7"/>
      <c r="E610" s="7" t="s">
        <v>1676</v>
      </c>
      <c r="F610" s="7" t="s">
        <v>32</v>
      </c>
      <c r="G610" s="7" t="s">
        <v>1677</v>
      </c>
    </row>
    <row r="611" spans="1:7">
      <c r="A611" s="11" t="s">
        <v>1418</v>
      </c>
      <c r="B611" s="7" t="s">
        <v>876</v>
      </c>
      <c r="C611" s="7"/>
      <c r="D611" s="7"/>
      <c r="E611" s="7" t="s">
        <v>1678</v>
      </c>
      <c r="F611" s="7" t="s">
        <v>32</v>
      </c>
      <c r="G611" s="7" t="s">
        <v>1679</v>
      </c>
    </row>
    <row r="612" spans="1:7">
      <c r="A612" s="11" t="s">
        <v>1420</v>
      </c>
      <c r="B612" s="7" t="s">
        <v>876</v>
      </c>
      <c r="C612" s="7"/>
      <c r="D612" s="7"/>
      <c r="E612" s="7" t="s">
        <v>1680</v>
      </c>
      <c r="F612" s="7" t="s">
        <v>32</v>
      </c>
      <c r="G612" s="7" t="s">
        <v>1681</v>
      </c>
    </row>
    <row r="613" spans="1:7">
      <c r="A613" s="11" t="s">
        <v>1421</v>
      </c>
      <c r="B613" s="7" t="s">
        <v>876</v>
      </c>
      <c r="C613" s="7"/>
      <c r="D613" s="7"/>
      <c r="E613" s="7" t="s">
        <v>1682</v>
      </c>
      <c r="F613" s="7" t="s">
        <v>32</v>
      </c>
      <c r="G613" s="7" t="s">
        <v>1683</v>
      </c>
    </row>
    <row r="614" spans="1:7">
      <c r="A614" s="11" t="s">
        <v>1423</v>
      </c>
      <c r="B614" s="7" t="s">
        <v>876</v>
      </c>
      <c r="C614" s="7"/>
      <c r="D614" s="7"/>
      <c r="E614" s="7" t="s">
        <v>1684</v>
      </c>
      <c r="F614" s="7" t="s">
        <v>32</v>
      </c>
      <c r="G614" s="7" t="s">
        <v>1685</v>
      </c>
    </row>
    <row r="615" spans="1:7">
      <c r="A615" s="11" t="s">
        <v>1425</v>
      </c>
      <c r="B615" s="7" t="s">
        <v>876</v>
      </c>
      <c r="C615" s="7"/>
      <c r="D615" s="7"/>
      <c r="E615" s="7" t="s">
        <v>1686</v>
      </c>
      <c r="F615" s="7" t="s">
        <v>32</v>
      </c>
      <c r="G615" s="7" t="s">
        <v>1687</v>
      </c>
    </row>
    <row r="616" spans="1:7">
      <c r="A616" s="11" t="s">
        <v>1426</v>
      </c>
      <c r="B616" s="7" t="s">
        <v>876</v>
      </c>
      <c r="C616" s="7"/>
      <c r="D616" s="7"/>
      <c r="E616" s="7" t="s">
        <v>1688</v>
      </c>
      <c r="F616" s="7" t="s">
        <v>32</v>
      </c>
      <c r="G616" s="7" t="s">
        <v>1689</v>
      </c>
    </row>
    <row r="617" spans="1:7">
      <c r="A617" s="11" t="s">
        <v>1427</v>
      </c>
      <c r="B617" s="7" t="s">
        <v>876</v>
      </c>
      <c r="C617" s="7"/>
      <c r="D617" s="7"/>
      <c r="E617" s="7" t="s">
        <v>1690</v>
      </c>
      <c r="F617" s="7" t="s">
        <v>32</v>
      </c>
      <c r="G617" s="7" t="s">
        <v>1691</v>
      </c>
    </row>
    <row r="618" spans="1:7">
      <c r="A618" s="11" t="s">
        <v>1428</v>
      </c>
      <c r="B618" s="7" t="s">
        <v>876</v>
      </c>
      <c r="C618" s="7"/>
      <c r="D618" s="7"/>
      <c r="E618" s="7" t="s">
        <v>1692</v>
      </c>
      <c r="F618" s="7" t="s">
        <v>32</v>
      </c>
      <c r="G618" s="7" t="s">
        <v>1693</v>
      </c>
    </row>
    <row r="619" spans="1:7">
      <c r="A619" s="11" t="s">
        <v>1429</v>
      </c>
      <c r="B619" s="7" t="s">
        <v>876</v>
      </c>
      <c r="C619" s="7"/>
      <c r="D619" s="7"/>
      <c r="E619" s="7" t="s">
        <v>1694</v>
      </c>
      <c r="F619" s="7" t="s">
        <v>32</v>
      </c>
      <c r="G619" s="7" t="s">
        <v>1695</v>
      </c>
    </row>
    <row r="620" spans="1:7">
      <c r="A620" s="11" t="s">
        <v>1431</v>
      </c>
      <c r="B620" s="7" t="s">
        <v>876</v>
      </c>
      <c r="C620" s="7"/>
      <c r="D620" s="7"/>
      <c r="E620" s="7" t="s">
        <v>1696</v>
      </c>
      <c r="F620" s="7" t="s">
        <v>32</v>
      </c>
      <c r="G620" s="7" t="s">
        <v>1697</v>
      </c>
    </row>
    <row r="621" spans="1:7">
      <c r="A621" s="11" t="s">
        <v>1432</v>
      </c>
      <c r="B621" s="7" t="s">
        <v>876</v>
      </c>
      <c r="C621" s="7"/>
      <c r="D621" s="7"/>
      <c r="E621" s="7" t="s">
        <v>1698</v>
      </c>
      <c r="F621" s="7" t="s">
        <v>32</v>
      </c>
      <c r="G621" s="7" t="s">
        <v>1699</v>
      </c>
    </row>
    <row r="622" spans="1:7">
      <c r="A622" s="11" t="s">
        <v>1433</v>
      </c>
      <c r="B622" s="7" t="s">
        <v>876</v>
      </c>
      <c r="C622" s="7"/>
      <c r="D622" s="7"/>
      <c r="E622" s="7" t="s">
        <v>1700</v>
      </c>
      <c r="F622" s="7" t="s">
        <v>32</v>
      </c>
      <c r="G622" s="7" t="s">
        <v>1701</v>
      </c>
    </row>
    <row r="623" spans="1:7">
      <c r="A623" s="11" t="s">
        <v>1435</v>
      </c>
      <c r="B623" s="7" t="s">
        <v>876</v>
      </c>
      <c r="C623" s="7"/>
      <c r="D623" s="7"/>
      <c r="E623" s="7" t="s">
        <v>1702</v>
      </c>
      <c r="F623" s="7" t="s">
        <v>32</v>
      </c>
      <c r="G623" s="7" t="s">
        <v>1703</v>
      </c>
    </row>
    <row r="624" spans="1:7">
      <c r="A624" s="11" t="s">
        <v>1437</v>
      </c>
      <c r="B624" s="7" t="s">
        <v>876</v>
      </c>
      <c r="C624" s="7"/>
      <c r="D624" s="7"/>
      <c r="E624" s="7" t="s">
        <v>1704</v>
      </c>
      <c r="F624" s="7" t="s">
        <v>32</v>
      </c>
      <c r="G624" s="7" t="s">
        <v>1705</v>
      </c>
    </row>
    <row r="625" spans="1:7">
      <c r="A625" s="11" t="s">
        <v>1438</v>
      </c>
      <c r="B625" s="7" t="s">
        <v>876</v>
      </c>
      <c r="C625" s="7"/>
      <c r="D625" s="7"/>
      <c r="E625" s="7" t="s">
        <v>1706</v>
      </c>
      <c r="F625" s="7" t="s">
        <v>32</v>
      </c>
      <c r="G625" s="7" t="s">
        <v>1707</v>
      </c>
    </row>
    <row r="626" spans="1:7">
      <c r="A626" s="11" t="s">
        <v>1440</v>
      </c>
      <c r="B626" s="7" t="s">
        <v>876</v>
      </c>
      <c r="C626" s="7"/>
      <c r="D626" s="7"/>
      <c r="E626" s="7" t="s">
        <v>1708</v>
      </c>
      <c r="F626" s="7" t="s">
        <v>32</v>
      </c>
      <c r="G626" s="7" t="s">
        <v>1709</v>
      </c>
    </row>
    <row r="627" spans="1:7">
      <c r="A627" s="11" t="s">
        <v>1442</v>
      </c>
      <c r="B627" s="7" t="s">
        <v>876</v>
      </c>
      <c r="C627" s="7"/>
      <c r="D627" s="7"/>
      <c r="E627" s="7" t="s">
        <v>1710</v>
      </c>
      <c r="F627" s="7" t="s">
        <v>32</v>
      </c>
      <c r="G627" s="7" t="s">
        <v>1711</v>
      </c>
    </row>
    <row r="628" spans="1:7">
      <c r="A628" s="11" t="s">
        <v>1444</v>
      </c>
      <c r="B628" s="7" t="s">
        <v>876</v>
      </c>
      <c r="C628" s="7"/>
      <c r="D628" s="7"/>
      <c r="E628" s="7" t="s">
        <v>1712</v>
      </c>
      <c r="F628" s="7" t="s">
        <v>32</v>
      </c>
      <c r="G628" s="7" t="s">
        <v>1713</v>
      </c>
    </row>
    <row r="629" spans="1:7">
      <c r="A629" s="11" t="s">
        <v>1446</v>
      </c>
      <c r="B629" s="7" t="s">
        <v>876</v>
      </c>
      <c r="C629" s="7"/>
      <c r="D629" s="7"/>
      <c r="E629" s="7" t="s">
        <v>1714</v>
      </c>
      <c r="F629" s="7" t="s">
        <v>32</v>
      </c>
      <c r="G629" s="7" t="s">
        <v>1715</v>
      </c>
    </row>
    <row r="630" spans="1:7">
      <c r="A630" s="11" t="s">
        <v>1448</v>
      </c>
      <c r="B630" s="7" t="s">
        <v>876</v>
      </c>
      <c r="C630" s="7"/>
      <c r="D630" s="7"/>
      <c r="E630" s="7" t="s">
        <v>1716</v>
      </c>
      <c r="F630" s="7" t="s">
        <v>32</v>
      </c>
      <c r="G630" s="7" t="s">
        <v>1717</v>
      </c>
    </row>
    <row r="631" spans="1:7">
      <c r="A631" s="11" t="s">
        <v>1449</v>
      </c>
      <c r="B631" s="7" t="s">
        <v>876</v>
      </c>
      <c r="C631" s="7"/>
      <c r="D631" s="7"/>
      <c r="E631" s="7" t="s">
        <v>1718</v>
      </c>
      <c r="F631" s="7" t="s">
        <v>32</v>
      </c>
      <c r="G631" s="7" t="s">
        <v>1719</v>
      </c>
    </row>
    <row r="632" spans="1:7">
      <c r="A632" s="11" t="s">
        <v>1451</v>
      </c>
      <c r="B632" s="7" t="s">
        <v>876</v>
      </c>
      <c r="C632" s="7"/>
      <c r="D632" s="7"/>
      <c r="E632" s="7" t="s">
        <v>600</v>
      </c>
      <c r="F632" s="7" t="s">
        <v>32</v>
      </c>
      <c r="G632" s="7" t="s">
        <v>1720</v>
      </c>
    </row>
    <row r="633" spans="1:7">
      <c r="A633" s="11" t="s">
        <v>1453</v>
      </c>
      <c r="B633" s="7" t="s">
        <v>876</v>
      </c>
      <c r="C633" s="7"/>
      <c r="D633" s="7"/>
      <c r="E633" s="7" t="s">
        <v>1721</v>
      </c>
      <c r="F633" s="7" t="s">
        <v>32</v>
      </c>
      <c r="G633" s="7" t="s">
        <v>1722</v>
      </c>
    </row>
    <row r="634" spans="1:7">
      <c r="A634" s="11" t="s">
        <v>1455</v>
      </c>
      <c r="B634" s="7" t="s">
        <v>876</v>
      </c>
      <c r="C634" s="7"/>
      <c r="D634" s="7"/>
      <c r="E634" s="7" t="s">
        <v>1723</v>
      </c>
      <c r="F634" s="7" t="s">
        <v>32</v>
      </c>
      <c r="G634" s="7" t="s">
        <v>1724</v>
      </c>
    </row>
    <row r="635" spans="1:7">
      <c r="A635" s="11" t="s">
        <v>1457</v>
      </c>
      <c r="B635" s="7" t="s">
        <v>876</v>
      </c>
      <c r="C635" s="7"/>
      <c r="D635" s="7"/>
      <c r="E635" s="7" t="s">
        <v>1725</v>
      </c>
      <c r="F635" s="7" t="s">
        <v>32</v>
      </c>
      <c r="G635" s="7" t="s">
        <v>1726</v>
      </c>
    </row>
    <row r="636" spans="1:7">
      <c r="A636" s="11" t="s">
        <v>1459</v>
      </c>
      <c r="B636" s="7" t="s">
        <v>876</v>
      </c>
      <c r="C636" s="7"/>
      <c r="D636" s="7"/>
      <c r="E636" s="7" t="s">
        <v>1727</v>
      </c>
      <c r="F636" s="7" t="s">
        <v>32</v>
      </c>
      <c r="G636" s="7" t="s">
        <v>1728</v>
      </c>
    </row>
    <row r="637" spans="1:7">
      <c r="A637" s="11" t="s">
        <v>1461</v>
      </c>
      <c r="B637" s="7" t="s">
        <v>876</v>
      </c>
      <c r="C637" s="7"/>
      <c r="D637" s="7"/>
      <c r="E637" s="7" t="s">
        <v>1729</v>
      </c>
      <c r="F637" s="7" t="s">
        <v>32</v>
      </c>
      <c r="G637" s="7" t="s">
        <v>1730</v>
      </c>
    </row>
    <row r="638" spans="1:7">
      <c r="A638" s="11" t="s">
        <v>1463</v>
      </c>
      <c r="B638" s="7" t="s">
        <v>876</v>
      </c>
      <c r="C638" s="7"/>
      <c r="D638" s="7"/>
      <c r="E638" s="7" t="s">
        <v>1731</v>
      </c>
      <c r="F638" s="7" t="s">
        <v>32</v>
      </c>
      <c r="G638" s="7" t="s">
        <v>1732</v>
      </c>
    </row>
    <row r="639" spans="1:7">
      <c r="A639" s="11" t="s">
        <v>1464</v>
      </c>
      <c r="B639" s="7" t="s">
        <v>876</v>
      </c>
      <c r="C639" s="7"/>
      <c r="D639" s="7"/>
      <c r="E639" s="7" t="s">
        <v>1733</v>
      </c>
      <c r="F639" s="7" t="s">
        <v>32</v>
      </c>
      <c r="G639" s="7" t="s">
        <v>1734</v>
      </c>
    </row>
    <row r="640" spans="1:7">
      <c r="A640" s="11" t="s">
        <v>1465</v>
      </c>
      <c r="B640" s="7" t="s">
        <v>876</v>
      </c>
      <c r="C640" s="7"/>
      <c r="D640" s="7"/>
      <c r="E640" s="7" t="s">
        <v>1735</v>
      </c>
      <c r="F640" s="7" t="s">
        <v>32</v>
      </c>
      <c r="G640" s="7" t="s">
        <v>1736</v>
      </c>
    </row>
    <row r="641" spans="1:7">
      <c r="A641" s="11" t="s">
        <v>1466</v>
      </c>
      <c r="B641" s="7" t="s">
        <v>876</v>
      </c>
      <c r="C641" s="7"/>
      <c r="D641" s="7"/>
      <c r="E641" s="7" t="s">
        <v>1737</v>
      </c>
      <c r="F641" s="7" t="s">
        <v>32</v>
      </c>
      <c r="G641" s="7" t="s">
        <v>1738</v>
      </c>
    </row>
    <row r="642" spans="1:7">
      <c r="A642" s="11" t="s">
        <v>1467</v>
      </c>
      <c r="B642" s="7" t="s">
        <v>876</v>
      </c>
      <c r="C642" s="7"/>
      <c r="D642" s="7"/>
      <c r="E642" s="7" t="s">
        <v>1583</v>
      </c>
      <c r="F642" s="7" t="s">
        <v>32</v>
      </c>
      <c r="G642" s="7" t="s">
        <v>1739</v>
      </c>
    </row>
    <row r="643" spans="1:7">
      <c r="A643" s="11" t="s">
        <v>1468</v>
      </c>
      <c r="B643" s="7" t="s">
        <v>876</v>
      </c>
      <c r="C643" s="7"/>
      <c r="D643" s="7"/>
      <c r="E643" s="7" t="s">
        <v>36</v>
      </c>
      <c r="F643" s="7" t="s">
        <v>32</v>
      </c>
      <c r="G643" s="7" t="s">
        <v>1740</v>
      </c>
    </row>
    <row r="644" spans="1:7">
      <c r="A644" s="11" t="s">
        <v>1469</v>
      </c>
      <c r="B644" s="7" t="s">
        <v>876</v>
      </c>
      <c r="C644" s="7"/>
      <c r="D644" s="7"/>
      <c r="E644" s="7" t="s">
        <v>807</v>
      </c>
      <c r="F644" s="7" t="s">
        <v>32</v>
      </c>
      <c r="G644" s="7" t="s">
        <v>1741</v>
      </c>
    </row>
    <row r="645" spans="1:7">
      <c r="A645" s="11" t="s">
        <v>1470</v>
      </c>
      <c r="B645" s="7" t="s">
        <v>876</v>
      </c>
      <c r="C645" s="7"/>
      <c r="D645" s="7"/>
      <c r="E645" s="7" t="s">
        <v>1742</v>
      </c>
      <c r="F645" s="7" t="s">
        <v>32</v>
      </c>
      <c r="G645" s="7" t="s">
        <v>1743</v>
      </c>
    </row>
    <row r="646" spans="1:7">
      <c r="A646" s="11" t="s">
        <v>1472</v>
      </c>
      <c r="B646" s="7" t="s">
        <v>876</v>
      </c>
      <c r="C646" s="7"/>
      <c r="D646" s="7"/>
      <c r="E646" s="7" t="s">
        <v>1744</v>
      </c>
      <c r="F646" s="7" t="s">
        <v>32</v>
      </c>
      <c r="G646" s="7" t="s">
        <v>1745</v>
      </c>
    </row>
    <row r="647" spans="1:7">
      <c r="A647" s="11" t="s">
        <v>1473</v>
      </c>
      <c r="B647" s="7" t="s">
        <v>876</v>
      </c>
      <c r="C647" s="7"/>
      <c r="D647" s="7"/>
      <c r="E647" s="7" t="s">
        <v>1746</v>
      </c>
      <c r="F647" s="7" t="s">
        <v>32</v>
      </c>
      <c r="G647" s="7" t="s">
        <v>1747</v>
      </c>
    </row>
    <row r="648" spans="1:7">
      <c r="A648" s="11" t="s">
        <v>1475</v>
      </c>
      <c r="B648" s="7" t="s">
        <v>876</v>
      </c>
      <c r="C648" s="7"/>
      <c r="D648" s="7"/>
      <c r="E648" s="7" t="s">
        <v>1748</v>
      </c>
      <c r="F648" s="7" t="s">
        <v>32</v>
      </c>
      <c r="G648" s="7" t="s">
        <v>1749</v>
      </c>
    </row>
    <row r="649" spans="1:7">
      <c r="A649" s="11" t="s">
        <v>1477</v>
      </c>
      <c r="B649" s="7" t="s">
        <v>876</v>
      </c>
      <c r="C649" s="7"/>
      <c r="D649" s="7"/>
      <c r="E649" s="7" t="s">
        <v>1750</v>
      </c>
      <c r="F649" s="7" t="s">
        <v>32</v>
      </c>
      <c r="G649" s="7" t="s">
        <v>1751</v>
      </c>
    </row>
    <row r="650" spans="1:7">
      <c r="A650" s="11" t="s">
        <v>1479</v>
      </c>
      <c r="B650" s="7" t="s">
        <v>876</v>
      </c>
      <c r="C650" s="7"/>
      <c r="D650" s="7"/>
      <c r="E650" s="7" t="s">
        <v>1015</v>
      </c>
      <c r="F650" s="7" t="s">
        <v>32</v>
      </c>
      <c r="G650" s="7" t="s">
        <v>1752</v>
      </c>
    </row>
    <row r="651" spans="1:7">
      <c r="A651" s="11" t="s">
        <v>1480</v>
      </c>
      <c r="B651" s="7" t="s">
        <v>876</v>
      </c>
      <c r="C651" s="7"/>
      <c r="D651" s="7"/>
      <c r="E651" s="7" t="s">
        <v>48</v>
      </c>
      <c r="F651" s="7" t="s">
        <v>32</v>
      </c>
      <c r="G651" s="7" t="s">
        <v>1753</v>
      </c>
    </row>
    <row r="652" spans="1:7">
      <c r="A652" s="11" t="s">
        <v>1481</v>
      </c>
      <c r="B652" s="7" t="s">
        <v>876</v>
      </c>
      <c r="C652" s="7"/>
      <c r="D652" s="7"/>
      <c r="E652" s="7" t="s">
        <v>1754</v>
      </c>
      <c r="F652" s="7" t="s">
        <v>32</v>
      </c>
      <c r="G652" s="7" t="s">
        <v>1755</v>
      </c>
    </row>
    <row r="653" spans="1:7">
      <c r="A653" s="11" t="s">
        <v>1482</v>
      </c>
      <c r="B653" s="7" t="s">
        <v>876</v>
      </c>
      <c r="C653" s="7"/>
      <c r="D653" s="7"/>
      <c r="E653" s="7" t="s">
        <v>42</v>
      </c>
      <c r="F653" s="7" t="s">
        <v>32</v>
      </c>
      <c r="G653" s="7" t="s">
        <v>1756</v>
      </c>
    </row>
    <row r="654" spans="1:7">
      <c r="A654" s="11" t="s">
        <v>1484</v>
      </c>
      <c r="B654" s="7" t="s">
        <v>876</v>
      </c>
      <c r="C654" s="7"/>
      <c r="D654" s="7"/>
      <c r="E654" s="7" t="s">
        <v>930</v>
      </c>
      <c r="F654" s="7" t="s">
        <v>32</v>
      </c>
      <c r="G654" s="7" t="s">
        <v>1757</v>
      </c>
    </row>
    <row r="655" spans="1:7">
      <c r="A655" s="11" t="s">
        <v>1486</v>
      </c>
      <c r="B655" s="7" t="s">
        <v>876</v>
      </c>
      <c r="C655" s="7"/>
      <c r="D655" s="7"/>
      <c r="E655" s="7" t="s">
        <v>1588</v>
      </c>
      <c r="F655" s="7" t="s">
        <v>32</v>
      </c>
      <c r="G655" s="7" t="s">
        <v>1758</v>
      </c>
    </row>
    <row r="656" spans="1:7">
      <c r="A656" s="11" t="s">
        <v>1488</v>
      </c>
      <c r="B656" s="7" t="s">
        <v>876</v>
      </c>
      <c r="C656" s="7"/>
      <c r="D656" s="7"/>
      <c r="E656" s="7" t="s">
        <v>66</v>
      </c>
      <c r="F656" s="7" t="s">
        <v>32</v>
      </c>
      <c r="G656" s="7" t="s">
        <v>1759</v>
      </c>
    </row>
    <row r="657" spans="1:7">
      <c r="A657" s="11" t="s">
        <v>1490</v>
      </c>
      <c r="B657" s="7" t="s">
        <v>876</v>
      </c>
      <c r="C657" s="7"/>
      <c r="D657" s="7"/>
      <c r="E657" s="7" t="s">
        <v>1760</v>
      </c>
      <c r="F657" s="7" t="s">
        <v>32</v>
      </c>
      <c r="G657" s="7" t="s">
        <v>1761</v>
      </c>
    </row>
    <row r="658" spans="1:7">
      <c r="A658" s="11" t="s">
        <v>1491</v>
      </c>
      <c r="B658" s="7" t="s">
        <v>876</v>
      </c>
      <c r="C658" s="7"/>
      <c r="D658" s="7"/>
      <c r="E658" s="7" t="s">
        <v>1586</v>
      </c>
      <c r="F658" s="7" t="s">
        <v>32</v>
      </c>
      <c r="G658" s="7" t="s">
        <v>1762</v>
      </c>
    </row>
    <row r="659" spans="1:7">
      <c r="A659" s="11" t="s">
        <v>1493</v>
      </c>
      <c r="B659" s="7" t="s">
        <v>876</v>
      </c>
      <c r="C659" s="7"/>
      <c r="D659" s="7"/>
      <c r="E659" s="7" t="s">
        <v>31</v>
      </c>
      <c r="F659" s="7" t="s">
        <v>32</v>
      </c>
      <c r="G659" s="7" t="s">
        <v>1763</v>
      </c>
    </row>
    <row r="660" spans="1:7">
      <c r="A660" s="11" t="s">
        <v>1495</v>
      </c>
      <c r="B660" s="7" t="s">
        <v>876</v>
      </c>
      <c r="C660" s="7"/>
      <c r="D660" s="7"/>
      <c r="E660" s="7" t="s">
        <v>1600</v>
      </c>
      <c r="F660" s="7" t="s">
        <v>32</v>
      </c>
      <c r="G660" s="7" t="s">
        <v>1764</v>
      </c>
    </row>
    <row r="661" spans="1:7">
      <c r="A661" s="11" t="s">
        <v>1496</v>
      </c>
      <c r="B661" s="7" t="s">
        <v>876</v>
      </c>
      <c r="C661" s="7"/>
      <c r="D661" s="7"/>
      <c r="E661" s="7" t="s">
        <v>880</v>
      </c>
      <c r="F661" s="7" t="s">
        <v>32</v>
      </c>
      <c r="G661" s="7" t="s">
        <v>1765</v>
      </c>
    </row>
    <row r="662" spans="1:7">
      <c r="A662" s="11" t="s">
        <v>1497</v>
      </c>
      <c r="B662" s="7" t="s">
        <v>876</v>
      </c>
      <c r="C662" s="7"/>
      <c r="D662" s="7"/>
      <c r="E662" s="7" t="s">
        <v>1585</v>
      </c>
      <c r="F662" s="7" t="s">
        <v>32</v>
      </c>
      <c r="G662" s="7" t="s">
        <v>1766</v>
      </c>
    </row>
    <row r="663" spans="1:7">
      <c r="A663" s="11" t="s">
        <v>1498</v>
      </c>
      <c r="B663" s="7" t="s">
        <v>876</v>
      </c>
      <c r="C663" s="7"/>
      <c r="D663" s="7"/>
      <c r="E663" s="7" t="s">
        <v>1590</v>
      </c>
      <c r="F663" s="7" t="s">
        <v>32</v>
      </c>
      <c r="G663" s="7" t="s">
        <v>1767</v>
      </c>
    </row>
    <row r="664" spans="1:7">
      <c r="A664" s="11" t="s">
        <v>1499</v>
      </c>
      <c r="B664" s="7" t="s">
        <v>876</v>
      </c>
      <c r="C664" s="7"/>
      <c r="D664" s="7"/>
      <c r="E664" s="7" t="s">
        <v>1768</v>
      </c>
      <c r="F664" s="7" t="s">
        <v>32</v>
      </c>
      <c r="G664" s="7" t="s">
        <v>1769</v>
      </c>
    </row>
    <row r="665" spans="1:7">
      <c r="A665" s="11" t="s">
        <v>1501</v>
      </c>
      <c r="B665" s="7" t="s">
        <v>876</v>
      </c>
      <c r="C665" s="7"/>
      <c r="D665" s="7"/>
      <c r="E665" s="7" t="s">
        <v>1770</v>
      </c>
      <c r="F665" s="7" t="s">
        <v>32</v>
      </c>
      <c r="G665" s="7" t="s">
        <v>1771</v>
      </c>
    </row>
    <row r="666" spans="1:7">
      <c r="A666" s="11" t="s">
        <v>1503</v>
      </c>
      <c r="B666" s="7" t="s">
        <v>876</v>
      </c>
      <c r="C666" s="7"/>
      <c r="D666" s="7"/>
      <c r="E666" s="7" t="s">
        <v>1772</v>
      </c>
      <c r="F666" s="7" t="s">
        <v>32</v>
      </c>
      <c r="G666" s="7" t="s">
        <v>1773</v>
      </c>
    </row>
    <row r="667" spans="1:7">
      <c r="A667" s="11" t="s">
        <v>1504</v>
      </c>
      <c r="B667" s="7" t="s">
        <v>876</v>
      </c>
      <c r="C667" s="7"/>
      <c r="D667" s="7"/>
      <c r="E667" s="7" t="s">
        <v>1774</v>
      </c>
      <c r="F667" s="7" t="s">
        <v>32</v>
      </c>
      <c r="G667" s="7" t="s">
        <v>1775</v>
      </c>
    </row>
    <row r="668" spans="1:7">
      <c r="A668" s="11" t="s">
        <v>1506</v>
      </c>
      <c r="B668" s="7" t="s">
        <v>876</v>
      </c>
      <c r="C668" s="7"/>
      <c r="D668" s="7"/>
      <c r="E668" s="7" t="s">
        <v>890</v>
      </c>
      <c r="F668" s="7" t="s">
        <v>32</v>
      </c>
      <c r="G668" s="7" t="s">
        <v>1776</v>
      </c>
    </row>
    <row r="669" spans="1:7">
      <c r="A669" s="11" t="s">
        <v>1508</v>
      </c>
      <c r="B669" s="7" t="s">
        <v>876</v>
      </c>
      <c r="C669" s="7"/>
      <c r="D669" s="7"/>
      <c r="E669" s="7" t="s">
        <v>1615</v>
      </c>
      <c r="F669" s="7" t="s">
        <v>32</v>
      </c>
      <c r="G669" s="7" t="s">
        <v>1777</v>
      </c>
    </row>
    <row r="670" spans="1:7">
      <c r="A670" s="11" t="s">
        <v>1510</v>
      </c>
      <c r="B670" s="7" t="s">
        <v>876</v>
      </c>
      <c r="C670" s="7"/>
      <c r="D670" s="7"/>
      <c r="E670" s="7" t="s">
        <v>940</v>
      </c>
      <c r="F670" s="7" t="s">
        <v>32</v>
      </c>
      <c r="G670" s="7" t="s">
        <v>1778</v>
      </c>
    </row>
    <row r="671" spans="1:7">
      <c r="A671" s="11" t="s">
        <v>1512</v>
      </c>
      <c r="B671" s="7" t="s">
        <v>876</v>
      </c>
      <c r="C671" s="7"/>
      <c r="D671" s="7"/>
      <c r="E671" s="7" t="s">
        <v>1591</v>
      </c>
      <c r="F671" s="7" t="s">
        <v>32</v>
      </c>
      <c r="G671" s="7" t="s">
        <v>1779</v>
      </c>
    </row>
    <row r="672" spans="1:7">
      <c r="A672" s="11" t="s">
        <v>1514</v>
      </c>
      <c r="B672" s="7" t="s">
        <v>876</v>
      </c>
      <c r="C672" s="7"/>
      <c r="D672" s="7"/>
      <c r="E672" s="7" t="s">
        <v>1780</v>
      </c>
      <c r="F672" s="7" t="s">
        <v>32</v>
      </c>
      <c r="G672" s="7" t="s">
        <v>1781</v>
      </c>
    </row>
    <row r="673" spans="1:7">
      <c r="A673" s="11" t="s">
        <v>1515</v>
      </c>
      <c r="B673" s="9" t="s">
        <v>876</v>
      </c>
      <c r="C673" s="9"/>
      <c r="D673" s="9"/>
      <c r="E673" s="9" t="s">
        <v>1782</v>
      </c>
      <c r="F673" s="9" t="s">
        <v>32</v>
      </c>
      <c r="G673" s="9" t="s">
        <v>1783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3"/>
  <sheetViews>
    <sheetView tabSelected="1" workbookViewId="0">
      <selection activeCell="M22" sqref="M22"/>
    </sheetView>
  </sheetViews>
  <sheetFormatPr defaultRowHeight="15"/>
  <sheetData>
    <row r="1" spans="1:20">
      <c r="E1" s="8" t="s">
        <v>1840</v>
      </c>
      <c r="I1" s="8" t="s">
        <v>1841</v>
      </c>
      <c r="M1" s="8" t="s">
        <v>1843</v>
      </c>
      <c r="Q1" s="8" t="s">
        <v>1844</v>
      </c>
    </row>
    <row r="2" spans="1:20">
      <c r="A2" t="s">
        <v>14</v>
      </c>
      <c r="B2" t="s">
        <v>15</v>
      </c>
      <c r="E2" t="s">
        <v>14</v>
      </c>
      <c r="F2" t="s">
        <v>15</v>
      </c>
      <c r="I2" t="s">
        <v>14</v>
      </c>
      <c r="J2" t="s">
        <v>15</v>
      </c>
      <c r="M2" t="s">
        <v>14</v>
      </c>
      <c r="N2" t="s">
        <v>15</v>
      </c>
      <c r="Q2" t="s">
        <v>14</v>
      </c>
      <c r="R2" t="s">
        <v>15</v>
      </c>
    </row>
    <row r="3" spans="1:20">
      <c r="A3" s="1" t="s">
        <v>16</v>
      </c>
      <c r="B3">
        <f>CountByColor(Table2[[#This Row],[Status]], Table1[Name])</f>
        <v>922</v>
      </c>
      <c r="E3" s="1" t="s">
        <v>16</v>
      </c>
      <c r="F3">
        <f>CountByColor(Table26[[#This Row],[Status]], Table4[Name])</f>
        <v>557</v>
      </c>
      <c r="I3" s="1" t="s">
        <v>16</v>
      </c>
      <c r="J3">
        <f>CountByColor(Table268[[#This Row],[Status]], Table6[Name])</f>
        <v>8</v>
      </c>
      <c r="M3" s="1" t="s">
        <v>16</v>
      </c>
      <c r="N3">
        <f>CountByColor(Table26810[[#This Row],[Status]], Table8[Name])</f>
        <v>45</v>
      </c>
      <c r="Q3" s="1" t="s">
        <v>16</v>
      </c>
      <c r="R3">
        <f>CountByColor(Table2681012[[#This Row],[Status]], Table10[Name])</f>
        <v>59</v>
      </c>
      <c r="S3" s="8" t="s">
        <v>1842</v>
      </c>
    </row>
    <row r="4" spans="1:20">
      <c r="A4" s="2" t="s">
        <v>17</v>
      </c>
      <c r="B4">
        <f>CountByColor(Table2[[#This Row],[Status]],  Table1[Name])</f>
        <v>50</v>
      </c>
      <c r="E4" s="2" t="s">
        <v>17</v>
      </c>
      <c r="F4">
        <f>CountByColor(Table26[[#This Row],[Status]],  Table4[Name])</f>
        <v>24</v>
      </c>
      <c r="I4" s="2" t="s">
        <v>17</v>
      </c>
      <c r="J4">
        <f>CountByColor(Table268[[#This Row],[Status]],  Table6[Name])</f>
        <v>0</v>
      </c>
      <c r="M4" s="2" t="s">
        <v>17</v>
      </c>
      <c r="N4">
        <f>CountByColor(Table26810[[#This Row],[Status]],  Table8[Name])</f>
        <v>2</v>
      </c>
      <c r="Q4" s="2" t="s">
        <v>17</v>
      </c>
      <c r="R4">
        <f>CountByColor(Table2681012[[#This Row],[Status]],  Table10[Name])</f>
        <v>5</v>
      </c>
      <c r="S4" t="s">
        <v>1622</v>
      </c>
      <c r="T4">
        <v>1</v>
      </c>
    </row>
    <row r="5" spans="1:20">
      <c r="A5" t="s">
        <v>18</v>
      </c>
      <c r="B5">
        <f>CountByColor(Table2[[#This Row],[Status]],  Table1[Name])</f>
        <v>0</v>
      </c>
      <c r="E5" t="s">
        <v>18</v>
      </c>
      <c r="F5">
        <f>CountByColor(Table26[[#This Row],[Status]],  Table1[Name])</f>
        <v>0</v>
      </c>
      <c r="I5" t="s">
        <v>18</v>
      </c>
      <c r="J5">
        <f>CountByColor(Table268[[#This Row],[Status]],  Table6[Name])</f>
        <v>0</v>
      </c>
      <c r="M5" t="s">
        <v>18</v>
      </c>
      <c r="N5">
        <f>CountByColor(Table26810[[#This Row],[Status]],  Table8[Name])</f>
        <v>0</v>
      </c>
      <c r="Q5" t="s">
        <v>18</v>
      </c>
      <c r="R5">
        <f>CountByColor(Table2681012[[#This Row],[Status]],  Table10[Name])</f>
        <v>0</v>
      </c>
      <c r="S5" t="s">
        <v>1839</v>
      </c>
      <c r="T5">
        <v>1</v>
      </c>
    </row>
    <row r="6" spans="1:20">
      <c r="A6" t="s">
        <v>19</v>
      </c>
      <c r="B6">
        <f>SUM(B3:B5)</f>
        <v>972</v>
      </c>
      <c r="E6" t="s">
        <v>19</v>
      </c>
      <c r="F6">
        <f>SUM(F3:F5)</f>
        <v>581</v>
      </c>
      <c r="I6" t="s">
        <v>19</v>
      </c>
      <c r="J6">
        <f>SUM(J3:J5)</f>
        <v>8</v>
      </c>
      <c r="M6" t="s">
        <v>19</v>
      </c>
      <c r="N6">
        <f>SUM(N3:N5)</f>
        <v>47</v>
      </c>
      <c r="Q6" t="s">
        <v>19</v>
      </c>
      <c r="R6">
        <f>SUM(R3:R5)</f>
        <v>64</v>
      </c>
    </row>
    <row r="7" spans="1:20">
      <c r="A7" t="s">
        <v>20</v>
      </c>
      <c r="B7">
        <f>4</f>
        <v>4</v>
      </c>
      <c r="E7" t="s">
        <v>20</v>
      </c>
      <c r="F7">
        <f>4</f>
        <v>4</v>
      </c>
      <c r="I7" t="s">
        <v>20</v>
      </c>
      <c r="J7">
        <f>4</f>
        <v>4</v>
      </c>
      <c r="M7" t="s">
        <v>20</v>
      </c>
      <c r="N7">
        <f>4</f>
        <v>4</v>
      </c>
      <c r="Q7" t="s">
        <v>20</v>
      </c>
      <c r="R7">
        <f>4</f>
        <v>4</v>
      </c>
    </row>
    <row r="8" spans="1:20">
      <c r="A8" t="s">
        <v>21</v>
      </c>
      <c r="B8" s="4">
        <f>B3/(B3+B4)</f>
        <v>0.94855967078189296</v>
      </c>
      <c r="E8" t="s">
        <v>21</v>
      </c>
      <c r="F8" s="4">
        <f>F3/(F3+F4)</f>
        <v>0.95869191049913938</v>
      </c>
      <c r="I8" t="s">
        <v>21</v>
      </c>
      <c r="J8" s="4">
        <f>J3/(J3+J4)</f>
        <v>1</v>
      </c>
      <c r="M8" t="s">
        <v>21</v>
      </c>
      <c r="N8" s="4">
        <f>N3/(N3+N4)</f>
        <v>0.95744680851063835</v>
      </c>
      <c r="Q8" t="s">
        <v>21</v>
      </c>
      <c r="R8" s="4">
        <f>R3/(R3+R4)</f>
        <v>0.921875</v>
      </c>
    </row>
    <row r="9" spans="1:20">
      <c r="A9" s="3" t="s">
        <v>1621</v>
      </c>
      <c r="B9" s="4">
        <f>CountByColor(Table2[[#This Row],[Status]],  Table1[Name])</f>
        <v>136</v>
      </c>
      <c r="E9" s="3" t="s">
        <v>1621</v>
      </c>
      <c r="F9" s="4">
        <f>CountByColor(Table26[[#This Row],[Status]],  Table4[Name])</f>
        <v>91</v>
      </c>
      <c r="I9" s="3" t="s">
        <v>1621</v>
      </c>
      <c r="J9" s="4">
        <f>CountByColor(Table268[[#This Row],[Status]],  Table6[Name])</f>
        <v>3</v>
      </c>
      <c r="M9" s="3" t="s">
        <v>1621</v>
      </c>
      <c r="N9" s="4">
        <f>CountByColor(Table26810[[#This Row],[Status]],  Table8[Name])</f>
        <v>4</v>
      </c>
      <c r="Q9" s="3" t="s">
        <v>1621</v>
      </c>
      <c r="R9" s="4">
        <f>CountByColor(Table2681012[[#This Row],[Status]],  Table10[Name])</f>
        <v>5</v>
      </c>
    </row>
    <row r="10" spans="1:20">
      <c r="A10" t="s">
        <v>1622</v>
      </c>
      <c r="B10" s="4">
        <f>B3/(B3+B9)</f>
        <v>0.87145557655954631</v>
      </c>
      <c r="E10" t="s">
        <v>1622</v>
      </c>
      <c r="F10" s="4">
        <f>F3/(F3+F9)</f>
        <v>0.85956790123456794</v>
      </c>
      <c r="I10" t="s">
        <v>1622</v>
      </c>
      <c r="J10" s="4">
        <f>J3/(J3+J9)</f>
        <v>0.72727272727272729</v>
      </c>
      <c r="M10" t="s">
        <v>1622</v>
      </c>
      <c r="N10" s="4">
        <f>N3/(N3+N9)</f>
        <v>0.91836734693877553</v>
      </c>
      <c r="Q10" t="s">
        <v>1622</v>
      </c>
      <c r="R10" s="4">
        <f>R3/(R3+R9)</f>
        <v>0.921875</v>
      </c>
    </row>
    <row r="14" spans="1:20">
      <c r="A14" s="8" t="s">
        <v>1845</v>
      </c>
      <c r="E14" s="8" t="s">
        <v>1846</v>
      </c>
      <c r="I14" s="8" t="s">
        <v>1858</v>
      </c>
    </row>
    <row r="15" spans="1:20">
      <c r="A15" t="s">
        <v>14</v>
      </c>
      <c r="B15" t="s">
        <v>15</v>
      </c>
      <c r="E15" t="s">
        <v>14</v>
      </c>
      <c r="F15" t="s">
        <v>15</v>
      </c>
      <c r="I15" t="s">
        <v>14</v>
      </c>
      <c r="J15" t="s">
        <v>15</v>
      </c>
    </row>
    <row r="16" spans="1:20">
      <c r="A16" s="1" t="s">
        <v>16</v>
      </c>
      <c r="B16">
        <f>CountByColor(Table268101214[[#This Row],[Status]], Table12[Name])</f>
        <v>14</v>
      </c>
      <c r="E16" s="1" t="s">
        <v>16</v>
      </c>
      <c r="F16">
        <f>CountByColor(Table26810121416[[#This Row],[Status]], Table14[Name])</f>
        <v>226</v>
      </c>
      <c r="I16" s="1" t="s">
        <v>16</v>
      </c>
      <c r="J16">
        <f>CountByColor(Table268101214164[[#This Row],[Status]], Table16[Name])</f>
        <v>6</v>
      </c>
    </row>
    <row r="17" spans="1:10">
      <c r="A17" s="2" t="s">
        <v>17</v>
      </c>
      <c r="B17">
        <f>CountByColor(Table268101214[[#This Row],[Status]],  Table12[Name])</f>
        <v>2</v>
      </c>
      <c r="E17" s="2" t="s">
        <v>17</v>
      </c>
      <c r="F17">
        <f>CountByColor(Table26810121416[[#This Row],[Status]],  Table14[Name])</f>
        <v>17</v>
      </c>
      <c r="I17" s="2" t="s">
        <v>17</v>
      </c>
      <c r="J17">
        <f>CountByColor(Table268101214164[[#This Row],[Status]],  Table16[Name])</f>
        <v>0</v>
      </c>
    </row>
    <row r="18" spans="1:10">
      <c r="A18" t="s">
        <v>18</v>
      </c>
      <c r="B18">
        <f>CountByColor(Table268101214[[#This Row],[Status]],  Table12[Name])</f>
        <v>0</v>
      </c>
      <c r="E18" t="s">
        <v>18</v>
      </c>
      <c r="F18">
        <f>CountByColor(Table26810121416[[#This Row],[Status]],  Table14[Name])</f>
        <v>0</v>
      </c>
      <c r="I18" t="s">
        <v>18</v>
      </c>
      <c r="J18">
        <f>CountByColor(Table268101214164[[#This Row],[Status]],  Table14[Name])</f>
        <v>0</v>
      </c>
    </row>
    <row r="19" spans="1:10">
      <c r="A19" t="s">
        <v>19</v>
      </c>
      <c r="B19">
        <f>SUM(B16:B18)</f>
        <v>16</v>
      </c>
      <c r="E19" t="s">
        <v>19</v>
      </c>
      <c r="F19">
        <f>SUM(F16:F18)</f>
        <v>243</v>
      </c>
      <c r="I19" t="s">
        <v>19</v>
      </c>
      <c r="J19">
        <f>SUM(J16:J18)</f>
        <v>6</v>
      </c>
    </row>
    <row r="20" spans="1:10">
      <c r="A20" t="s">
        <v>20</v>
      </c>
      <c r="B20">
        <f>4</f>
        <v>4</v>
      </c>
      <c r="E20" t="s">
        <v>20</v>
      </c>
      <c r="F20">
        <f>4</f>
        <v>4</v>
      </c>
      <c r="I20" t="s">
        <v>20</v>
      </c>
      <c r="J20">
        <f>4</f>
        <v>4</v>
      </c>
    </row>
    <row r="21" spans="1:10">
      <c r="A21" t="s">
        <v>21</v>
      </c>
      <c r="B21" s="4">
        <f>B16/(B16+B17)</f>
        <v>0.875</v>
      </c>
      <c r="E21" t="s">
        <v>21</v>
      </c>
      <c r="F21" s="4">
        <f>F16/(F16+F17)</f>
        <v>0.93004115226337447</v>
      </c>
      <c r="I21" t="s">
        <v>21</v>
      </c>
      <c r="J21" s="4">
        <f>J16/(J16+J17)</f>
        <v>1</v>
      </c>
    </row>
    <row r="22" spans="1:10">
      <c r="A22" s="3" t="s">
        <v>1621</v>
      </c>
      <c r="B22" s="4">
        <f>CountByColor(Table268101214[[#This Row],[Status]],  Table12[Name])</f>
        <v>0</v>
      </c>
      <c r="E22" s="3" t="s">
        <v>1621</v>
      </c>
      <c r="F22" s="4">
        <f>CountByColor(Table26810121416[[#This Row],[Status]],  Table14[Name])</f>
        <v>31</v>
      </c>
      <c r="I22" s="3" t="s">
        <v>1621</v>
      </c>
      <c r="J22" s="4">
        <f>CountByColor(Table268101214164[[#This Row],[Status]],  Table16[Name])</f>
        <v>2</v>
      </c>
    </row>
    <row r="23" spans="1:10">
      <c r="A23" t="s">
        <v>1622</v>
      </c>
      <c r="B23" s="4">
        <f>B16/(B16+B22)</f>
        <v>1</v>
      </c>
      <c r="E23" t="s">
        <v>1622</v>
      </c>
      <c r="F23" s="4">
        <f>F16/(F16+F22)</f>
        <v>0.87937743190661477</v>
      </c>
      <c r="I23" t="s">
        <v>1622</v>
      </c>
      <c r="J23" s="4">
        <f>J16/(J16+J22)</f>
        <v>0.75</v>
      </c>
    </row>
  </sheetData>
  <conditionalFormatting sqref="B3:B10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{6D959DE2-91BE-4B04-9E84-B6AAF689F8B5}</x14:id>
        </ext>
      </extLst>
    </cfRule>
  </conditionalFormatting>
  <conditionalFormatting sqref="B9:B10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{8C272BA9-4063-444C-B9DC-095E327B1C10}</x14:id>
        </ext>
      </extLst>
    </cfRule>
  </conditionalFormatting>
  <conditionalFormatting sqref="B9:B10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{3F4A4452-96A1-42C4-BE97-99183ADE6DB7}</x14:id>
        </ext>
      </extLst>
    </cfRule>
  </conditionalFormatting>
  <conditionalFormatting sqref="F3:F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{3A26E2E0-0290-4F58-B532-F6A55E445F0E}</x14:id>
        </ext>
      </extLst>
    </cfRule>
  </conditionalFormatting>
  <conditionalFormatting sqref="F9:F1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{306464E4-B872-4A24-ADF1-82AE7AE6DDA3}</x14:id>
        </ext>
      </extLst>
    </cfRule>
  </conditionalFormatting>
  <conditionalFormatting sqref="F9:F1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{24BAF149-9235-42E9-80C0-51B3D84F21A6}</x14:id>
        </ext>
      </extLst>
    </cfRule>
  </conditionalFormatting>
  <conditionalFormatting sqref="J3:J10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{1C2C165D-D946-4F99-95CC-93AFD7BE720E}</x14:id>
        </ext>
      </extLst>
    </cfRule>
  </conditionalFormatting>
  <conditionalFormatting sqref="J9:J1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{E0A7CE97-5162-455D-BCBB-B504E6F5B1CB}</x14:id>
        </ext>
      </extLst>
    </cfRule>
  </conditionalFormatting>
  <conditionalFormatting sqref="J9:J1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{8837038C-214D-4694-8CB4-6D60BF280ABA}</x14:id>
        </ext>
      </extLst>
    </cfRule>
  </conditionalFormatting>
  <conditionalFormatting sqref="N3:N1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{07CADF70-179B-4CAA-8AA8-E4C26FE9DE3F}</x14:id>
        </ext>
      </extLst>
    </cfRule>
  </conditionalFormatting>
  <conditionalFormatting sqref="N9:N1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{F23A922B-D90D-4782-A633-CEE6C0A0474F}</x14:id>
        </ext>
      </extLst>
    </cfRule>
  </conditionalFormatting>
  <conditionalFormatting sqref="N9:N1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{1FEFDB1B-59B8-4E59-8F26-A3B7FC99CB1D}</x14:id>
        </ext>
      </extLst>
    </cfRule>
  </conditionalFormatting>
  <conditionalFormatting sqref="R3:R10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{7392F91F-0D5A-42AE-83BB-4F793BBD93FE}</x14:id>
        </ext>
      </extLst>
    </cfRule>
  </conditionalFormatting>
  <conditionalFormatting sqref="R9:R1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{703D793C-8F5B-4F84-A90A-5FBA8D7B35EE}</x14:id>
        </ext>
      </extLst>
    </cfRule>
  </conditionalFormatting>
  <conditionalFormatting sqref="R9:R10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{D32C5C27-CBB7-4280-8249-2892EDF7A390}</x14:id>
        </ext>
      </extLst>
    </cfRule>
  </conditionalFormatting>
  <conditionalFormatting sqref="B16:B2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{CB55364D-F2BB-4227-B2C0-A299EB4F5EF5}</x14:id>
        </ext>
      </extLst>
    </cfRule>
  </conditionalFormatting>
  <conditionalFormatting sqref="B22:B2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{05E77C55-40A5-4653-B981-425225B73D10}</x14:id>
        </ext>
      </extLst>
    </cfRule>
  </conditionalFormatting>
  <conditionalFormatting sqref="B22:B2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{B4AC792E-99C9-4586-848A-F5D9A8E979BB}</x14:id>
        </ext>
      </extLst>
    </cfRule>
  </conditionalFormatting>
  <conditionalFormatting sqref="F16:F2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{B76C7120-2BE7-4400-99CF-A7730F44BE19}</x14:id>
        </ext>
      </extLst>
    </cfRule>
  </conditionalFormatting>
  <conditionalFormatting sqref="F22:F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{C456CDD2-6A9F-47CC-8E14-1137A2408B1B}</x14:id>
        </ext>
      </extLst>
    </cfRule>
  </conditionalFormatting>
  <conditionalFormatting sqref="F22:F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{7C663EF6-5445-4514-BE54-6EB9F8057076}</x14:id>
        </ext>
      </extLst>
    </cfRule>
  </conditionalFormatting>
  <conditionalFormatting sqref="J16:J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{0592D7C8-1EEE-4EAA-8F9B-019E0DDAF317}</x14:id>
        </ext>
      </extLst>
    </cfRule>
  </conditionalFormatting>
  <conditionalFormatting sqref="J22:J2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{E20648C7-5089-4FC8-B49D-30A748AE7AD6}</x14:id>
        </ext>
      </extLst>
    </cfRule>
  </conditionalFormatting>
  <conditionalFormatting sqref="J22:J2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{7576653F-1914-4E97-942E-E15C4304BBCF}</x14:id>
        </ext>
      </extLst>
    </cfRule>
  </conditionalFormatting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959DE2-91BE-4B04-9E84-B6AAF689F8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B3:B10</xm:sqref>
        </x14:conditionalFormatting>
        <x14:conditionalFormatting xmlns:xm="http://schemas.microsoft.com/office/excel/2006/main">
          <x14:cfRule type="dataBar" id="{8C272BA9-4063-444C-B9DC-095E327B1C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B9:B10</xm:sqref>
        </x14:conditionalFormatting>
        <x14:conditionalFormatting xmlns:xm="http://schemas.microsoft.com/office/excel/2006/main">
          <x14:cfRule type="dataBar" id="{3F4A4452-96A1-42C4-BE97-99183ADE6D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B9:B10</xm:sqref>
        </x14:conditionalFormatting>
        <x14:conditionalFormatting xmlns:xm="http://schemas.microsoft.com/office/excel/2006/main">
          <x14:cfRule type="dataBar" id="{3A26E2E0-0290-4F58-B532-F6A55E445F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F3:F10</xm:sqref>
        </x14:conditionalFormatting>
        <x14:conditionalFormatting xmlns:xm="http://schemas.microsoft.com/office/excel/2006/main">
          <x14:cfRule type="dataBar" id="{306464E4-B872-4A24-ADF1-82AE7AE6DD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24BAF149-9235-42E9-80C0-51B3D84F2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1C2C165D-D946-4F99-95CC-93AFD7BE72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J3:J10</xm:sqref>
        </x14:conditionalFormatting>
        <x14:conditionalFormatting xmlns:xm="http://schemas.microsoft.com/office/excel/2006/main">
          <x14:cfRule type="dataBar" id="{E0A7CE97-5162-455D-BCBB-B504E6F5B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J9:J10</xm:sqref>
        </x14:conditionalFormatting>
        <x14:conditionalFormatting xmlns:xm="http://schemas.microsoft.com/office/excel/2006/main">
          <x14:cfRule type="dataBar" id="{8837038C-214D-4694-8CB4-6D60BF280A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J9:J10</xm:sqref>
        </x14:conditionalFormatting>
        <x14:conditionalFormatting xmlns:xm="http://schemas.microsoft.com/office/excel/2006/main">
          <x14:cfRule type="dataBar" id="{07CADF70-179B-4CAA-8AA8-E4C26FE9DE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N3:N10</xm:sqref>
        </x14:conditionalFormatting>
        <x14:conditionalFormatting xmlns:xm="http://schemas.microsoft.com/office/excel/2006/main">
          <x14:cfRule type="dataBar" id="{F23A922B-D90D-4782-A633-CEE6C0A047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N9:N10</xm:sqref>
        </x14:conditionalFormatting>
        <x14:conditionalFormatting xmlns:xm="http://schemas.microsoft.com/office/excel/2006/main">
          <x14:cfRule type="dataBar" id="{1FEFDB1B-59B8-4E59-8F26-A3B7FC99CB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N9:N10</xm:sqref>
        </x14:conditionalFormatting>
        <x14:conditionalFormatting xmlns:xm="http://schemas.microsoft.com/office/excel/2006/main">
          <x14:cfRule type="dataBar" id="{7392F91F-0D5A-42AE-83BB-4F793BBD93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R3:R10</xm:sqref>
        </x14:conditionalFormatting>
        <x14:conditionalFormatting xmlns:xm="http://schemas.microsoft.com/office/excel/2006/main">
          <x14:cfRule type="dataBar" id="{703D793C-8F5B-4F84-A90A-5FBA8D7B35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R9:R10</xm:sqref>
        </x14:conditionalFormatting>
        <x14:conditionalFormatting xmlns:xm="http://schemas.microsoft.com/office/excel/2006/main">
          <x14:cfRule type="dataBar" id="{D32C5C27-CBB7-4280-8249-2892EDF7A3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R9:R10</xm:sqref>
        </x14:conditionalFormatting>
        <x14:conditionalFormatting xmlns:xm="http://schemas.microsoft.com/office/excel/2006/main">
          <x14:cfRule type="dataBar" id="{CB55364D-F2BB-4227-B2C0-A299EB4F5E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B16:B23</xm:sqref>
        </x14:conditionalFormatting>
        <x14:conditionalFormatting xmlns:xm="http://schemas.microsoft.com/office/excel/2006/main">
          <x14:cfRule type="dataBar" id="{05E77C55-40A5-4653-B981-425225B73D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B22:B23</xm:sqref>
        </x14:conditionalFormatting>
        <x14:conditionalFormatting xmlns:xm="http://schemas.microsoft.com/office/excel/2006/main">
          <x14:cfRule type="dataBar" id="{B4AC792E-99C9-4586-848A-F5D9A8E979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B22:B23</xm:sqref>
        </x14:conditionalFormatting>
        <x14:conditionalFormatting xmlns:xm="http://schemas.microsoft.com/office/excel/2006/main">
          <x14:cfRule type="dataBar" id="{B76C7120-2BE7-4400-99CF-A7730F44BE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F16:F23</xm:sqref>
        </x14:conditionalFormatting>
        <x14:conditionalFormatting xmlns:xm="http://schemas.microsoft.com/office/excel/2006/main">
          <x14:cfRule type="dataBar" id="{C456CDD2-6A9F-47CC-8E14-1137A2408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F22:F23</xm:sqref>
        </x14:conditionalFormatting>
        <x14:conditionalFormatting xmlns:xm="http://schemas.microsoft.com/office/excel/2006/main">
          <x14:cfRule type="dataBar" id="{7C663EF6-5445-4514-BE54-6EB9F80570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F22:F23</xm:sqref>
        </x14:conditionalFormatting>
        <x14:conditionalFormatting xmlns:xm="http://schemas.microsoft.com/office/excel/2006/main">
          <x14:cfRule type="dataBar" id="{0592D7C8-1EEE-4EAA-8F9B-019E0DDAF3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J16:J23</xm:sqref>
        </x14:conditionalFormatting>
        <x14:conditionalFormatting xmlns:xm="http://schemas.microsoft.com/office/excel/2006/main">
          <x14:cfRule type="dataBar" id="{E20648C7-5089-4FC8-B49D-30A748AE7A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J22:J23</xm:sqref>
        </x14:conditionalFormatting>
        <x14:conditionalFormatting xmlns:xm="http://schemas.microsoft.com/office/excel/2006/main">
          <x14:cfRule type="dataBar" id="{7576653F-1914-4E97-942E-E15C4304BB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J22:J23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rocksdb</vt:lpstr>
      <vt:lpstr>UnusedParameters</vt:lpstr>
      <vt:lpstr>UnusedDeclaration</vt:lpstr>
      <vt:lpstr>scattering</vt:lpstr>
      <vt:lpstr>Clustering</vt:lpstr>
      <vt:lpstr>memorymanagement</vt:lpstr>
      <vt:lpstr>NotsecuringLib</vt:lpstr>
      <vt:lpstr>ExcessiveInterlang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Palmyre</dc:creator>
  <cp:lastModifiedBy>Administrator</cp:lastModifiedBy>
  <dcterms:created xsi:type="dcterms:W3CDTF">2019-07-24T15:20:26Z</dcterms:created>
  <dcterms:modified xsi:type="dcterms:W3CDTF">2020-08-20T18:53:53Z</dcterms:modified>
</cp:coreProperties>
</file>